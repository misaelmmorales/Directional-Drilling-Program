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saelmorales/Desktop/"/>
    </mc:Choice>
  </mc:AlternateContent>
  <xr:revisionPtr revIDLastSave="0" documentId="13_ncr:1_{330AEEC0-804F-CF44-B2A3-98F4309DC9F2}" xr6:coauthVersionLast="47" xr6:coauthVersionMax="47" xr10:uidLastSave="{00000000-0000-0000-0000-000000000000}"/>
  <bookViews>
    <workbookView xWindow="0" yWindow="500" windowWidth="38400" windowHeight="18900" xr2:uid="{00000000-000D-0000-FFFF-FFFF00000000}"/>
  </bookViews>
  <sheets>
    <sheet name="3DTraj" sheetId="1" r:id="rId1"/>
    <sheet name="Well Survey" sheetId="3" r:id="rId2"/>
    <sheet name="Extra" sheetId="2" r:id="rId3"/>
  </sheets>
  <functionGroups builtInGroupCount="19"/>
  <definedNames>
    <definedName name="angle">Extra!$D$1:$D$2</definedName>
    <definedName name="List">Extra!$A$1:$A$3</definedName>
    <definedName name="rates">Extra!$E$1:$E$4</definedName>
    <definedName name="Units">Extra!$C$1:$C$6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6" i="1" l="1"/>
  <c r="B126" i="1"/>
  <c r="B128" i="1"/>
  <c r="D128" i="1"/>
  <c r="D135" i="1"/>
  <c r="B127" i="1"/>
  <c r="O135" i="1"/>
  <c r="P135" i="1"/>
  <c r="I135" i="1"/>
  <c r="I136" i="1"/>
  <c r="C136" i="1"/>
  <c r="D136" i="1"/>
  <c r="E136" i="1"/>
  <c r="F136" i="1"/>
  <c r="G136" i="1"/>
  <c r="H136" i="1"/>
  <c r="J136" i="1"/>
  <c r="K136" i="1"/>
  <c r="L136" i="1"/>
  <c r="M136" i="1"/>
  <c r="N136" i="1" a="1"/>
  <c r="N136" i="1"/>
  <c r="I137" i="1"/>
  <c r="C137" i="1"/>
  <c r="D137" i="1"/>
  <c r="E137" i="1"/>
  <c r="F137" i="1"/>
  <c r="G137" i="1"/>
  <c r="H137" i="1"/>
  <c r="J137" i="1"/>
  <c r="K137" i="1"/>
  <c r="L137" i="1"/>
  <c r="M137" i="1"/>
  <c r="N137" i="1" a="1"/>
  <c r="N137" i="1"/>
  <c r="I138" i="1"/>
  <c r="C138" i="1"/>
  <c r="D138" i="1"/>
  <c r="E138" i="1"/>
  <c r="F138" i="1"/>
  <c r="G138" i="1"/>
  <c r="H138" i="1"/>
  <c r="J138" i="1"/>
  <c r="K138" i="1"/>
  <c r="L138" i="1"/>
  <c r="M138" i="1"/>
  <c r="N138" i="1" a="1"/>
  <c r="N138" i="1"/>
  <c r="I139" i="1"/>
  <c r="C139" i="1"/>
  <c r="D139" i="1"/>
  <c r="E139" i="1"/>
  <c r="F139" i="1"/>
  <c r="G139" i="1"/>
  <c r="H139" i="1"/>
  <c r="J139" i="1"/>
  <c r="K139" i="1"/>
  <c r="L139" i="1"/>
  <c r="M139" i="1"/>
  <c r="N139" i="1" a="1"/>
  <c r="N139" i="1"/>
  <c r="I140" i="1"/>
  <c r="C140" i="1"/>
  <c r="D140" i="1"/>
  <c r="E140" i="1"/>
  <c r="F140" i="1"/>
  <c r="G140" i="1"/>
  <c r="H140" i="1"/>
  <c r="J140" i="1"/>
  <c r="K140" i="1"/>
  <c r="L140" i="1"/>
  <c r="M140" i="1"/>
  <c r="N140" i="1" a="1"/>
  <c r="N140" i="1"/>
  <c r="I141" i="1"/>
  <c r="C141" i="1"/>
  <c r="D141" i="1"/>
  <c r="E141" i="1"/>
  <c r="F141" i="1"/>
  <c r="G141" i="1"/>
  <c r="H141" i="1"/>
  <c r="J141" i="1"/>
  <c r="K141" i="1"/>
  <c r="L141" i="1"/>
  <c r="M141" i="1"/>
  <c r="N141" i="1" a="1"/>
  <c r="N141" i="1"/>
  <c r="I142" i="1"/>
  <c r="C142" i="1"/>
  <c r="D142" i="1"/>
  <c r="E142" i="1"/>
  <c r="F142" i="1"/>
  <c r="G142" i="1"/>
  <c r="H142" i="1"/>
  <c r="J142" i="1"/>
  <c r="K142" i="1"/>
  <c r="L142" i="1"/>
  <c r="M142" i="1"/>
  <c r="N142" i="1" a="1"/>
  <c r="N142" i="1"/>
  <c r="I143" i="1"/>
  <c r="C143" i="1"/>
  <c r="D143" i="1"/>
  <c r="E143" i="1"/>
  <c r="F143" i="1"/>
  <c r="G143" i="1"/>
  <c r="H143" i="1"/>
  <c r="J143" i="1"/>
  <c r="K143" i="1"/>
  <c r="L143" i="1"/>
  <c r="M143" i="1"/>
  <c r="N143" i="1" a="1"/>
  <c r="N143" i="1"/>
  <c r="I144" i="1"/>
  <c r="C144" i="1"/>
  <c r="D144" i="1"/>
  <c r="E144" i="1"/>
  <c r="F144" i="1"/>
  <c r="G144" i="1"/>
  <c r="H144" i="1"/>
  <c r="J144" i="1"/>
  <c r="K144" i="1"/>
  <c r="L144" i="1"/>
  <c r="M144" i="1"/>
  <c r="N144" i="1" a="1"/>
  <c r="N144" i="1"/>
  <c r="I145" i="1"/>
  <c r="C145" i="1"/>
  <c r="D145" i="1"/>
  <c r="E145" i="1"/>
  <c r="F145" i="1"/>
  <c r="G145" i="1"/>
  <c r="H145" i="1"/>
  <c r="J145" i="1"/>
  <c r="K145" i="1"/>
  <c r="L145" i="1"/>
  <c r="M145" i="1"/>
  <c r="N145" i="1" a="1"/>
  <c r="N145" i="1"/>
  <c r="I146" i="1"/>
  <c r="C146" i="1"/>
  <c r="D146" i="1"/>
  <c r="E146" i="1"/>
  <c r="F146" i="1"/>
  <c r="G146" i="1"/>
  <c r="H146" i="1"/>
  <c r="J146" i="1"/>
  <c r="K146" i="1"/>
  <c r="L146" i="1"/>
  <c r="M146" i="1"/>
  <c r="N146" i="1" a="1"/>
  <c r="N146" i="1"/>
  <c r="I147" i="1"/>
  <c r="C147" i="1"/>
  <c r="D147" i="1"/>
  <c r="E147" i="1"/>
  <c r="F147" i="1"/>
  <c r="G147" i="1"/>
  <c r="H147" i="1"/>
  <c r="J147" i="1"/>
  <c r="K147" i="1"/>
  <c r="L147" i="1"/>
  <c r="M147" i="1"/>
  <c r="N147" i="1" a="1"/>
  <c r="N147" i="1"/>
  <c r="I148" i="1"/>
  <c r="C148" i="1"/>
  <c r="D148" i="1"/>
  <c r="E148" i="1"/>
  <c r="F148" i="1"/>
  <c r="G148" i="1"/>
  <c r="H148" i="1"/>
  <c r="J148" i="1"/>
  <c r="K148" i="1"/>
  <c r="L148" i="1"/>
  <c r="M148" i="1"/>
  <c r="N148" i="1" a="1"/>
  <c r="N148" i="1"/>
  <c r="I149" i="1"/>
  <c r="C149" i="1"/>
  <c r="D149" i="1"/>
  <c r="E149" i="1"/>
  <c r="F149" i="1"/>
  <c r="G149" i="1"/>
  <c r="H149" i="1"/>
  <c r="J149" i="1"/>
  <c r="K149" i="1"/>
  <c r="L149" i="1"/>
  <c r="M149" i="1"/>
  <c r="N149" i="1" a="1"/>
  <c r="N149" i="1"/>
  <c r="I150" i="1"/>
  <c r="C150" i="1"/>
  <c r="D150" i="1"/>
  <c r="E150" i="1"/>
  <c r="F150" i="1"/>
  <c r="G150" i="1"/>
  <c r="H150" i="1"/>
  <c r="J150" i="1"/>
  <c r="K150" i="1"/>
  <c r="L150" i="1"/>
  <c r="M150" i="1"/>
  <c r="N150" i="1" a="1"/>
  <c r="N150" i="1"/>
  <c r="I151" i="1"/>
  <c r="C151" i="1"/>
  <c r="D151" i="1"/>
  <c r="E151" i="1"/>
  <c r="F151" i="1"/>
  <c r="G151" i="1"/>
  <c r="H151" i="1"/>
  <c r="J151" i="1"/>
  <c r="K151" i="1"/>
  <c r="L151" i="1"/>
  <c r="M151" i="1"/>
  <c r="N151" i="1" a="1"/>
  <c r="N151" i="1"/>
  <c r="I152" i="1"/>
  <c r="C152" i="1"/>
  <c r="D152" i="1"/>
  <c r="E152" i="1"/>
  <c r="F152" i="1"/>
  <c r="G152" i="1"/>
  <c r="H152" i="1"/>
  <c r="J152" i="1"/>
  <c r="K152" i="1"/>
  <c r="L152" i="1"/>
  <c r="M152" i="1"/>
  <c r="N152" i="1" a="1"/>
  <c r="N152" i="1"/>
  <c r="I153" i="1"/>
  <c r="C153" i="1"/>
  <c r="D153" i="1"/>
  <c r="E153" i="1"/>
  <c r="F153" i="1"/>
  <c r="G153" i="1"/>
  <c r="H153" i="1"/>
  <c r="J153" i="1"/>
  <c r="K153" i="1"/>
  <c r="L153" i="1"/>
  <c r="M153" i="1"/>
  <c r="N153" i="1" a="1"/>
  <c r="N153" i="1"/>
  <c r="I154" i="1"/>
  <c r="C154" i="1"/>
  <c r="D154" i="1"/>
  <c r="E154" i="1"/>
  <c r="F154" i="1"/>
  <c r="G154" i="1"/>
  <c r="H154" i="1"/>
  <c r="J154" i="1"/>
  <c r="K154" i="1"/>
  <c r="L154" i="1"/>
  <c r="M154" i="1"/>
  <c r="N154" i="1" a="1"/>
  <c r="N154" i="1"/>
  <c r="I155" i="1"/>
  <c r="C155" i="1"/>
  <c r="D155" i="1"/>
  <c r="E155" i="1"/>
  <c r="F155" i="1"/>
  <c r="G155" i="1"/>
  <c r="H155" i="1"/>
  <c r="J155" i="1"/>
  <c r="K155" i="1"/>
  <c r="L155" i="1"/>
  <c r="M155" i="1"/>
  <c r="N155" i="1" a="1"/>
  <c r="N155" i="1"/>
  <c r="I156" i="1"/>
  <c r="C156" i="1"/>
  <c r="D156" i="1"/>
  <c r="E156" i="1"/>
  <c r="F156" i="1"/>
  <c r="G156" i="1"/>
  <c r="H156" i="1"/>
  <c r="J156" i="1"/>
  <c r="K156" i="1"/>
  <c r="L156" i="1"/>
  <c r="M156" i="1"/>
  <c r="N156" i="1" a="1"/>
  <c r="N156" i="1"/>
  <c r="I157" i="1"/>
  <c r="C157" i="1"/>
  <c r="D157" i="1"/>
  <c r="E157" i="1"/>
  <c r="F157" i="1"/>
  <c r="G157" i="1"/>
  <c r="H157" i="1"/>
  <c r="J157" i="1"/>
  <c r="K157" i="1"/>
  <c r="L157" i="1"/>
  <c r="M157" i="1"/>
  <c r="N157" i="1" a="1"/>
  <c r="N157" i="1"/>
  <c r="I158" i="1"/>
  <c r="C158" i="1"/>
  <c r="D158" i="1"/>
  <c r="E158" i="1"/>
  <c r="F158" i="1"/>
  <c r="G158" i="1"/>
  <c r="H158" i="1"/>
  <c r="J158" i="1"/>
  <c r="K158" i="1"/>
  <c r="L158" i="1"/>
  <c r="M158" i="1"/>
  <c r="N158" i="1" a="1"/>
  <c r="N158" i="1"/>
  <c r="I159" i="1"/>
  <c r="C159" i="1"/>
  <c r="D159" i="1"/>
  <c r="E159" i="1"/>
  <c r="F159" i="1"/>
  <c r="G159" i="1"/>
  <c r="H159" i="1"/>
  <c r="J159" i="1"/>
  <c r="K159" i="1"/>
  <c r="L159" i="1"/>
  <c r="M159" i="1"/>
  <c r="N159" i="1" a="1"/>
  <c r="N159" i="1"/>
  <c r="I160" i="1"/>
  <c r="C160" i="1"/>
  <c r="D160" i="1"/>
  <c r="E160" i="1"/>
  <c r="F160" i="1"/>
  <c r="G160" i="1"/>
  <c r="H160" i="1"/>
  <c r="J160" i="1"/>
  <c r="K160" i="1"/>
  <c r="L160" i="1"/>
  <c r="M160" i="1"/>
  <c r="N160" i="1" a="1"/>
  <c r="N160" i="1"/>
  <c r="I161" i="1"/>
  <c r="C161" i="1"/>
  <c r="D161" i="1"/>
  <c r="E161" i="1"/>
  <c r="F161" i="1"/>
  <c r="G161" i="1"/>
  <c r="H161" i="1"/>
  <c r="J161" i="1"/>
  <c r="K161" i="1"/>
  <c r="L161" i="1"/>
  <c r="M161" i="1"/>
  <c r="N161" i="1" a="1"/>
  <c r="N161" i="1"/>
  <c r="I162" i="1"/>
  <c r="C162" i="1"/>
  <c r="D162" i="1"/>
  <c r="E162" i="1"/>
  <c r="F162" i="1"/>
  <c r="G162" i="1"/>
  <c r="H162" i="1"/>
  <c r="J162" i="1"/>
  <c r="K162" i="1"/>
  <c r="L162" i="1"/>
  <c r="M162" i="1"/>
  <c r="N162" i="1" a="1"/>
  <c r="N162" i="1"/>
  <c r="I163" i="1"/>
  <c r="C163" i="1"/>
  <c r="D163" i="1"/>
  <c r="E163" i="1"/>
  <c r="F163" i="1"/>
  <c r="G163" i="1"/>
  <c r="H163" i="1"/>
  <c r="J163" i="1"/>
  <c r="K163" i="1"/>
  <c r="L163" i="1"/>
  <c r="M163" i="1"/>
  <c r="N163" i="1" a="1"/>
  <c r="N163" i="1"/>
  <c r="I164" i="1"/>
  <c r="C164" i="1"/>
  <c r="D164" i="1"/>
  <c r="E164" i="1"/>
  <c r="F164" i="1"/>
  <c r="G164" i="1"/>
  <c r="H164" i="1"/>
  <c r="J164" i="1"/>
  <c r="K164" i="1"/>
  <c r="L164" i="1"/>
  <c r="M164" i="1"/>
  <c r="N164" i="1" a="1"/>
  <c r="N164" i="1"/>
  <c r="I165" i="1"/>
  <c r="C165" i="1"/>
  <c r="D165" i="1"/>
  <c r="E165" i="1"/>
  <c r="F165" i="1"/>
  <c r="G165" i="1"/>
  <c r="H165" i="1"/>
  <c r="J165" i="1"/>
  <c r="K165" i="1"/>
  <c r="L165" i="1"/>
  <c r="M165" i="1"/>
  <c r="N165" i="1" a="1"/>
  <c r="N165" i="1"/>
  <c r="I166" i="1"/>
  <c r="C166" i="1"/>
  <c r="D166" i="1"/>
  <c r="E166" i="1"/>
  <c r="F166" i="1"/>
  <c r="G166" i="1"/>
  <c r="H166" i="1"/>
  <c r="J166" i="1"/>
  <c r="K166" i="1"/>
  <c r="L166" i="1"/>
  <c r="M166" i="1"/>
  <c r="N166" i="1" a="1"/>
  <c r="N166" i="1"/>
  <c r="I167" i="1"/>
  <c r="C167" i="1"/>
  <c r="D167" i="1"/>
  <c r="E167" i="1"/>
  <c r="F167" i="1"/>
  <c r="G167" i="1"/>
  <c r="H167" i="1"/>
  <c r="J167" i="1"/>
  <c r="K167" i="1"/>
  <c r="L167" i="1"/>
  <c r="M167" i="1"/>
  <c r="N167" i="1" a="1"/>
  <c r="N167" i="1"/>
  <c r="I168" i="1"/>
  <c r="C168" i="1"/>
  <c r="D168" i="1"/>
  <c r="E168" i="1"/>
  <c r="F168" i="1"/>
  <c r="G168" i="1"/>
  <c r="H168" i="1"/>
  <c r="J168" i="1"/>
  <c r="K168" i="1"/>
  <c r="L168" i="1"/>
  <c r="M168" i="1"/>
  <c r="N168" i="1" a="1"/>
  <c r="N168" i="1"/>
  <c r="I169" i="1"/>
  <c r="C169" i="1"/>
  <c r="D169" i="1"/>
  <c r="E169" i="1"/>
  <c r="F169" i="1"/>
  <c r="G169" i="1"/>
  <c r="H169" i="1"/>
  <c r="J169" i="1"/>
  <c r="K169" i="1"/>
  <c r="L169" i="1"/>
  <c r="M169" i="1"/>
  <c r="N169" i="1" a="1"/>
  <c r="N169" i="1"/>
  <c r="I170" i="1"/>
  <c r="C170" i="1"/>
  <c r="D170" i="1"/>
  <c r="E170" i="1"/>
  <c r="F170" i="1"/>
  <c r="G170" i="1"/>
  <c r="H170" i="1"/>
  <c r="J170" i="1"/>
  <c r="K170" i="1"/>
  <c r="L170" i="1"/>
  <c r="M170" i="1"/>
  <c r="N170" i="1" a="1"/>
  <c r="N170" i="1"/>
  <c r="I171" i="1"/>
  <c r="C171" i="1"/>
  <c r="D171" i="1"/>
  <c r="E171" i="1"/>
  <c r="F171" i="1"/>
  <c r="G171" i="1"/>
  <c r="H171" i="1"/>
  <c r="J171" i="1"/>
  <c r="K171" i="1"/>
  <c r="L171" i="1"/>
  <c r="M171" i="1"/>
  <c r="N171" i="1" a="1"/>
  <c r="N171" i="1"/>
  <c r="I172" i="1"/>
  <c r="C172" i="1"/>
  <c r="D172" i="1"/>
  <c r="E172" i="1"/>
  <c r="F172" i="1"/>
  <c r="G172" i="1"/>
  <c r="H172" i="1"/>
  <c r="J172" i="1"/>
  <c r="K172" i="1"/>
  <c r="L172" i="1"/>
  <c r="M172" i="1"/>
  <c r="N172" i="1" a="1"/>
  <c r="N172" i="1"/>
  <c r="I173" i="1"/>
  <c r="C173" i="1"/>
  <c r="D173" i="1"/>
  <c r="E173" i="1"/>
  <c r="F173" i="1"/>
  <c r="G173" i="1"/>
  <c r="H173" i="1"/>
  <c r="J173" i="1"/>
  <c r="K173" i="1"/>
  <c r="L173" i="1"/>
  <c r="M173" i="1"/>
  <c r="N173" i="1" a="1"/>
  <c r="N173" i="1"/>
  <c r="I174" i="1"/>
  <c r="C174" i="1"/>
  <c r="D174" i="1"/>
  <c r="E174" i="1"/>
  <c r="F174" i="1"/>
  <c r="G174" i="1"/>
  <c r="H174" i="1"/>
  <c r="J174" i="1"/>
  <c r="K174" i="1"/>
  <c r="L174" i="1"/>
  <c r="M174" i="1"/>
  <c r="N174" i="1" a="1"/>
  <c r="N174" i="1"/>
  <c r="I175" i="1"/>
  <c r="C175" i="1"/>
  <c r="D175" i="1"/>
  <c r="E175" i="1"/>
  <c r="F175" i="1"/>
  <c r="G175" i="1"/>
  <c r="H175" i="1"/>
  <c r="J175" i="1"/>
  <c r="K175" i="1"/>
  <c r="L175" i="1"/>
  <c r="M175" i="1"/>
  <c r="N175" i="1" a="1"/>
  <c r="N175" i="1"/>
  <c r="I176" i="1"/>
  <c r="C176" i="1"/>
  <c r="D176" i="1"/>
  <c r="E176" i="1"/>
  <c r="F176" i="1"/>
  <c r="G176" i="1"/>
  <c r="H176" i="1"/>
  <c r="J176" i="1"/>
  <c r="K176" i="1"/>
  <c r="L176" i="1"/>
  <c r="M176" i="1"/>
  <c r="N176" i="1" a="1"/>
  <c r="N176" i="1"/>
  <c r="I177" i="1"/>
  <c r="C177" i="1"/>
  <c r="D177" i="1"/>
  <c r="E177" i="1"/>
  <c r="F177" i="1"/>
  <c r="G177" i="1"/>
  <c r="H177" i="1"/>
  <c r="J177" i="1"/>
  <c r="K177" i="1"/>
  <c r="L177" i="1"/>
  <c r="M177" i="1"/>
  <c r="N177" i="1" a="1"/>
  <c r="N177" i="1"/>
  <c r="I178" i="1"/>
  <c r="C178" i="1"/>
  <c r="D178" i="1"/>
  <c r="E178" i="1"/>
  <c r="F178" i="1"/>
  <c r="G178" i="1"/>
  <c r="H178" i="1"/>
  <c r="J178" i="1"/>
  <c r="K178" i="1"/>
  <c r="L178" i="1"/>
  <c r="M178" i="1"/>
  <c r="N178" i="1" a="1"/>
  <c r="N178" i="1"/>
  <c r="I179" i="1"/>
  <c r="C179" i="1"/>
  <c r="D179" i="1"/>
  <c r="E179" i="1"/>
  <c r="F179" i="1"/>
  <c r="G179" i="1"/>
  <c r="H179" i="1"/>
  <c r="J179" i="1"/>
  <c r="K179" i="1"/>
  <c r="L179" i="1"/>
  <c r="M179" i="1"/>
  <c r="N179" i="1" a="1"/>
  <c r="N179" i="1"/>
  <c r="I180" i="1"/>
  <c r="C180" i="1"/>
  <c r="D180" i="1"/>
  <c r="E180" i="1"/>
  <c r="F180" i="1"/>
  <c r="G180" i="1"/>
  <c r="H180" i="1"/>
  <c r="J180" i="1"/>
  <c r="K180" i="1"/>
  <c r="L180" i="1"/>
  <c r="M180" i="1"/>
  <c r="N180" i="1" a="1"/>
  <c r="N180" i="1"/>
  <c r="I181" i="1"/>
  <c r="C181" i="1"/>
  <c r="D181" i="1"/>
  <c r="E181" i="1"/>
  <c r="F181" i="1"/>
  <c r="G181" i="1"/>
  <c r="H181" i="1"/>
  <c r="J181" i="1"/>
  <c r="K181" i="1"/>
  <c r="L181" i="1"/>
  <c r="M181" i="1"/>
  <c r="N181" i="1" a="1"/>
  <c r="N181" i="1"/>
  <c r="I182" i="1"/>
  <c r="C182" i="1"/>
  <c r="D182" i="1"/>
  <c r="E182" i="1"/>
  <c r="F182" i="1"/>
  <c r="G182" i="1"/>
  <c r="H182" i="1"/>
  <c r="J182" i="1"/>
  <c r="K182" i="1"/>
  <c r="L182" i="1"/>
  <c r="M182" i="1"/>
  <c r="N182" i="1" a="1"/>
  <c r="N182" i="1"/>
  <c r="I183" i="1"/>
  <c r="C183" i="1"/>
  <c r="D183" i="1"/>
  <c r="E183" i="1"/>
  <c r="F183" i="1"/>
  <c r="G183" i="1"/>
  <c r="H183" i="1"/>
  <c r="J183" i="1"/>
  <c r="K183" i="1"/>
  <c r="L183" i="1"/>
  <c r="M183" i="1"/>
  <c r="N183" i="1" a="1"/>
  <c r="N183" i="1"/>
  <c r="I184" i="1"/>
  <c r="C184" i="1"/>
  <c r="D184" i="1"/>
  <c r="E184" i="1"/>
  <c r="F184" i="1"/>
  <c r="G184" i="1"/>
  <c r="H184" i="1"/>
  <c r="J184" i="1"/>
  <c r="K184" i="1"/>
  <c r="L184" i="1"/>
  <c r="M184" i="1"/>
  <c r="N184" i="1" a="1"/>
  <c r="N184" i="1"/>
  <c r="I185" i="1"/>
  <c r="C185" i="1"/>
  <c r="D185" i="1"/>
  <c r="E185" i="1"/>
  <c r="F185" i="1"/>
  <c r="G185" i="1"/>
  <c r="H185" i="1"/>
  <c r="J185" i="1"/>
  <c r="K185" i="1"/>
  <c r="L185" i="1"/>
  <c r="M185" i="1"/>
  <c r="N185" i="1" a="1"/>
  <c r="N185" i="1"/>
  <c r="I186" i="1"/>
  <c r="C186" i="1"/>
  <c r="D186" i="1"/>
  <c r="E186" i="1"/>
  <c r="F186" i="1"/>
  <c r="G186" i="1"/>
  <c r="H186" i="1"/>
  <c r="J186" i="1"/>
  <c r="K186" i="1"/>
  <c r="L186" i="1"/>
  <c r="M186" i="1"/>
  <c r="N186" i="1" a="1"/>
  <c r="N186" i="1"/>
  <c r="I187" i="1"/>
  <c r="C187" i="1"/>
  <c r="D187" i="1"/>
  <c r="E187" i="1"/>
  <c r="F187" i="1"/>
  <c r="G187" i="1"/>
  <c r="H187" i="1"/>
  <c r="J187" i="1"/>
  <c r="K187" i="1"/>
  <c r="L187" i="1"/>
  <c r="M187" i="1"/>
  <c r="N187" i="1" a="1"/>
  <c r="N187" i="1"/>
  <c r="I188" i="1"/>
  <c r="C188" i="1"/>
  <c r="D188" i="1"/>
  <c r="E188" i="1"/>
  <c r="F188" i="1"/>
  <c r="G188" i="1"/>
  <c r="H188" i="1"/>
  <c r="J188" i="1"/>
  <c r="K188" i="1"/>
  <c r="L188" i="1"/>
  <c r="M188" i="1"/>
  <c r="N188" i="1" a="1"/>
  <c r="N188" i="1"/>
  <c r="I189" i="1"/>
  <c r="C189" i="1"/>
  <c r="D189" i="1"/>
  <c r="E189" i="1"/>
  <c r="F189" i="1"/>
  <c r="G189" i="1"/>
  <c r="H189" i="1"/>
  <c r="J189" i="1"/>
  <c r="K189" i="1"/>
  <c r="L189" i="1"/>
  <c r="M189" i="1"/>
  <c r="N189" i="1" a="1"/>
  <c r="N189" i="1"/>
  <c r="I190" i="1"/>
  <c r="C190" i="1"/>
  <c r="D190" i="1"/>
  <c r="E190" i="1"/>
  <c r="F190" i="1"/>
  <c r="G190" i="1"/>
  <c r="H190" i="1"/>
  <c r="J190" i="1"/>
  <c r="K190" i="1"/>
  <c r="L190" i="1"/>
  <c r="M190" i="1"/>
  <c r="N190" i="1" a="1"/>
  <c r="N190" i="1"/>
  <c r="I191" i="1"/>
  <c r="C191" i="1"/>
  <c r="D191" i="1"/>
  <c r="E191" i="1"/>
  <c r="F191" i="1"/>
  <c r="G191" i="1"/>
  <c r="H191" i="1"/>
  <c r="J191" i="1"/>
  <c r="K191" i="1"/>
  <c r="L191" i="1"/>
  <c r="M191" i="1"/>
  <c r="N191" i="1" a="1"/>
  <c r="N191" i="1"/>
  <c r="I192" i="1"/>
  <c r="C192" i="1"/>
  <c r="D192" i="1"/>
  <c r="E192" i="1"/>
  <c r="F192" i="1"/>
  <c r="G192" i="1"/>
  <c r="H192" i="1"/>
  <c r="J192" i="1"/>
  <c r="K192" i="1"/>
  <c r="L192" i="1"/>
  <c r="M192" i="1"/>
  <c r="N192" i="1" a="1"/>
  <c r="N192" i="1"/>
  <c r="I193" i="1"/>
  <c r="C193" i="1"/>
  <c r="D193" i="1"/>
  <c r="E193" i="1"/>
  <c r="F193" i="1"/>
  <c r="G193" i="1"/>
  <c r="H193" i="1"/>
  <c r="J193" i="1"/>
  <c r="K193" i="1"/>
  <c r="L193" i="1"/>
  <c r="M193" i="1"/>
  <c r="N193" i="1" a="1"/>
  <c r="N193" i="1"/>
  <c r="I194" i="1"/>
  <c r="C194" i="1"/>
  <c r="D194" i="1"/>
  <c r="E194" i="1"/>
  <c r="F194" i="1"/>
  <c r="G194" i="1"/>
  <c r="H194" i="1"/>
  <c r="J194" i="1"/>
  <c r="K194" i="1"/>
  <c r="L194" i="1"/>
  <c r="M194" i="1"/>
  <c r="N194" i="1" a="1"/>
  <c r="N194" i="1"/>
  <c r="I195" i="1"/>
  <c r="C195" i="1"/>
  <c r="D195" i="1"/>
  <c r="E195" i="1"/>
  <c r="F195" i="1"/>
  <c r="G195" i="1"/>
  <c r="H195" i="1"/>
  <c r="J195" i="1"/>
  <c r="K195" i="1"/>
  <c r="L195" i="1"/>
  <c r="M195" i="1"/>
  <c r="N195" i="1" a="1"/>
  <c r="N195" i="1"/>
  <c r="I196" i="1"/>
  <c r="C196" i="1"/>
  <c r="D196" i="1"/>
  <c r="E196" i="1"/>
  <c r="F196" i="1"/>
  <c r="G196" i="1"/>
  <c r="H196" i="1"/>
  <c r="J196" i="1"/>
  <c r="K196" i="1"/>
  <c r="L196" i="1"/>
  <c r="M196" i="1"/>
  <c r="N196" i="1" a="1"/>
  <c r="N196" i="1"/>
  <c r="I197" i="1"/>
  <c r="C197" i="1"/>
  <c r="D197" i="1"/>
  <c r="E197" i="1"/>
  <c r="F197" i="1"/>
  <c r="G197" i="1"/>
  <c r="H197" i="1"/>
  <c r="J197" i="1"/>
  <c r="K197" i="1"/>
  <c r="L197" i="1"/>
  <c r="M197" i="1"/>
  <c r="N197" i="1" a="1"/>
  <c r="N197" i="1"/>
  <c r="I198" i="1"/>
  <c r="C198" i="1"/>
  <c r="D198" i="1"/>
  <c r="E198" i="1"/>
  <c r="F198" i="1"/>
  <c r="G198" i="1"/>
  <c r="H198" i="1"/>
  <c r="J198" i="1"/>
  <c r="K198" i="1"/>
  <c r="L198" i="1"/>
  <c r="M198" i="1"/>
  <c r="N198" i="1" a="1"/>
  <c r="N198" i="1"/>
  <c r="I199" i="1"/>
  <c r="C199" i="1"/>
  <c r="D199" i="1"/>
  <c r="E199" i="1"/>
  <c r="F199" i="1"/>
  <c r="G199" i="1"/>
  <c r="H199" i="1"/>
  <c r="J199" i="1"/>
  <c r="K199" i="1"/>
  <c r="L199" i="1"/>
  <c r="M199" i="1"/>
  <c r="N199" i="1" a="1"/>
  <c r="N199" i="1"/>
  <c r="I200" i="1"/>
  <c r="C200" i="1"/>
  <c r="D200" i="1"/>
  <c r="E200" i="1"/>
  <c r="F200" i="1"/>
  <c r="G200" i="1"/>
  <c r="H200" i="1"/>
  <c r="J200" i="1"/>
  <c r="K200" i="1"/>
  <c r="L200" i="1"/>
  <c r="M200" i="1"/>
  <c r="N200" i="1" a="1"/>
  <c r="N200" i="1"/>
  <c r="I201" i="1"/>
  <c r="C201" i="1"/>
  <c r="D201" i="1"/>
  <c r="E201" i="1"/>
  <c r="F201" i="1"/>
  <c r="G201" i="1"/>
  <c r="H201" i="1"/>
  <c r="J201" i="1"/>
  <c r="K201" i="1"/>
  <c r="L201" i="1"/>
  <c r="M201" i="1"/>
  <c r="N201" i="1" a="1"/>
  <c r="N201" i="1"/>
  <c r="I202" i="1"/>
  <c r="C202" i="1"/>
  <c r="D202" i="1"/>
  <c r="E202" i="1"/>
  <c r="F202" i="1"/>
  <c r="G202" i="1"/>
  <c r="H202" i="1"/>
  <c r="J202" i="1"/>
  <c r="K202" i="1"/>
  <c r="L202" i="1"/>
  <c r="M202" i="1"/>
  <c r="N202" i="1" a="1"/>
  <c r="N202" i="1"/>
  <c r="I203" i="1"/>
  <c r="C203" i="1"/>
  <c r="D203" i="1"/>
  <c r="E203" i="1"/>
  <c r="F203" i="1"/>
  <c r="G203" i="1"/>
  <c r="H203" i="1"/>
  <c r="J203" i="1"/>
  <c r="K203" i="1"/>
  <c r="L203" i="1"/>
  <c r="M203" i="1"/>
  <c r="N203" i="1" a="1"/>
  <c r="N203" i="1"/>
  <c r="I204" i="1"/>
  <c r="C204" i="1"/>
  <c r="D204" i="1"/>
  <c r="E204" i="1"/>
  <c r="F204" i="1"/>
  <c r="G204" i="1"/>
  <c r="H204" i="1"/>
  <c r="J204" i="1"/>
  <c r="K204" i="1"/>
  <c r="L204" i="1"/>
  <c r="M204" i="1"/>
  <c r="N204" i="1" a="1"/>
  <c r="N204" i="1"/>
  <c r="I205" i="1"/>
  <c r="C205" i="1"/>
  <c r="D205" i="1"/>
  <c r="E205" i="1"/>
  <c r="F205" i="1"/>
  <c r="G205" i="1"/>
  <c r="H205" i="1"/>
  <c r="J205" i="1"/>
  <c r="K205" i="1"/>
  <c r="L205" i="1"/>
  <c r="M205" i="1"/>
  <c r="N205" i="1" a="1"/>
  <c r="N205" i="1"/>
  <c r="I206" i="1"/>
  <c r="C206" i="1"/>
  <c r="D206" i="1"/>
  <c r="E206" i="1"/>
  <c r="F206" i="1"/>
  <c r="G206" i="1"/>
  <c r="H206" i="1"/>
  <c r="J206" i="1"/>
  <c r="K206" i="1"/>
  <c r="L206" i="1"/>
  <c r="M206" i="1"/>
  <c r="N206" i="1" a="1"/>
  <c r="N206" i="1"/>
  <c r="I207" i="1"/>
  <c r="C207" i="1"/>
  <c r="D207" i="1"/>
  <c r="E207" i="1"/>
  <c r="F207" i="1"/>
  <c r="G207" i="1"/>
  <c r="H207" i="1"/>
  <c r="J207" i="1"/>
  <c r="K207" i="1"/>
  <c r="L207" i="1"/>
  <c r="M207" i="1"/>
  <c r="N207" i="1" a="1"/>
  <c r="N207" i="1"/>
  <c r="I208" i="1"/>
  <c r="C208" i="1"/>
  <c r="D208" i="1"/>
  <c r="E208" i="1"/>
  <c r="F208" i="1"/>
  <c r="G208" i="1"/>
  <c r="H208" i="1"/>
  <c r="J208" i="1"/>
  <c r="K208" i="1"/>
  <c r="L208" i="1"/>
  <c r="M208" i="1"/>
  <c r="N208" i="1" a="1"/>
  <c r="N208" i="1"/>
  <c r="I209" i="1"/>
  <c r="C209" i="1"/>
  <c r="D209" i="1"/>
  <c r="E209" i="1"/>
  <c r="F209" i="1"/>
  <c r="G209" i="1"/>
  <c r="H209" i="1"/>
  <c r="J209" i="1"/>
  <c r="K209" i="1"/>
  <c r="L209" i="1"/>
  <c r="M209" i="1"/>
  <c r="N209" i="1" a="1"/>
  <c r="N209" i="1"/>
  <c r="I210" i="1"/>
  <c r="C210" i="1"/>
  <c r="D210" i="1"/>
  <c r="E210" i="1"/>
  <c r="F210" i="1"/>
  <c r="G210" i="1"/>
  <c r="H210" i="1"/>
  <c r="J210" i="1"/>
  <c r="K210" i="1"/>
  <c r="L210" i="1"/>
  <c r="M210" i="1"/>
  <c r="N210" i="1" a="1"/>
  <c r="N210" i="1"/>
  <c r="I211" i="1"/>
  <c r="C211" i="1"/>
  <c r="D211" i="1"/>
  <c r="E211" i="1"/>
  <c r="F211" i="1"/>
  <c r="G211" i="1"/>
  <c r="H211" i="1"/>
  <c r="J211" i="1"/>
  <c r="K211" i="1"/>
  <c r="L211" i="1"/>
  <c r="M211" i="1"/>
  <c r="N211" i="1" a="1"/>
  <c r="N211" i="1"/>
  <c r="I212" i="1"/>
  <c r="C212" i="1"/>
  <c r="D212" i="1"/>
  <c r="E212" i="1"/>
  <c r="F212" i="1"/>
  <c r="G212" i="1"/>
  <c r="H212" i="1"/>
  <c r="J212" i="1"/>
  <c r="K212" i="1"/>
  <c r="L212" i="1"/>
  <c r="M212" i="1"/>
  <c r="N212" i="1" a="1"/>
  <c r="N212" i="1"/>
  <c r="I213" i="1"/>
  <c r="C213" i="1"/>
  <c r="D213" i="1"/>
  <c r="E213" i="1"/>
  <c r="F213" i="1"/>
  <c r="G213" i="1"/>
  <c r="H213" i="1"/>
  <c r="J213" i="1"/>
  <c r="K213" i="1"/>
  <c r="L213" i="1"/>
  <c r="M213" i="1"/>
  <c r="N213" i="1" a="1"/>
  <c r="N213" i="1"/>
  <c r="I214" i="1"/>
  <c r="C214" i="1"/>
  <c r="D214" i="1"/>
  <c r="E214" i="1"/>
  <c r="F214" i="1"/>
  <c r="G214" i="1"/>
  <c r="H214" i="1"/>
  <c r="J214" i="1"/>
  <c r="K214" i="1"/>
  <c r="L214" i="1"/>
  <c r="M214" i="1"/>
  <c r="N214" i="1" a="1"/>
  <c r="N214" i="1"/>
  <c r="I215" i="1"/>
  <c r="C215" i="1"/>
  <c r="D215" i="1"/>
  <c r="E215" i="1"/>
  <c r="F215" i="1"/>
  <c r="G215" i="1"/>
  <c r="H215" i="1"/>
  <c r="J215" i="1"/>
  <c r="K215" i="1"/>
  <c r="L215" i="1"/>
  <c r="M215" i="1"/>
  <c r="N215" i="1" a="1"/>
  <c r="N215" i="1"/>
  <c r="E135" i="1"/>
  <c r="F135" i="1"/>
  <c r="G135" i="1"/>
  <c r="H135" i="1"/>
  <c r="J135" i="1"/>
  <c r="K135" i="1"/>
  <c r="L135" i="1"/>
  <c r="M135" i="1"/>
  <c r="O215" i="1"/>
  <c r="AA215" i="1"/>
  <c r="O214" i="1"/>
  <c r="AA214" i="1"/>
  <c r="O213" i="1"/>
  <c r="AA213" i="1"/>
  <c r="O212" i="1"/>
  <c r="AA212" i="1"/>
  <c r="O211" i="1"/>
  <c r="AA211" i="1"/>
  <c r="O210" i="1"/>
  <c r="AA210" i="1"/>
  <c r="O209" i="1"/>
  <c r="AA209" i="1"/>
  <c r="O208" i="1"/>
  <c r="AA208" i="1"/>
  <c r="O207" i="1"/>
  <c r="AA207" i="1"/>
  <c r="O206" i="1"/>
  <c r="AA206" i="1"/>
  <c r="O205" i="1"/>
  <c r="AA205" i="1"/>
  <c r="O204" i="1"/>
  <c r="AA204" i="1"/>
  <c r="O203" i="1"/>
  <c r="AA203" i="1"/>
  <c r="O202" i="1"/>
  <c r="AA202" i="1"/>
  <c r="O201" i="1"/>
  <c r="AA201" i="1"/>
  <c r="O200" i="1"/>
  <c r="AA200" i="1"/>
  <c r="O199" i="1"/>
  <c r="AA199" i="1"/>
  <c r="O198" i="1"/>
  <c r="AA198" i="1"/>
  <c r="O197" i="1"/>
  <c r="AA197" i="1"/>
  <c r="O196" i="1"/>
  <c r="AA196" i="1"/>
  <c r="O195" i="1"/>
  <c r="AA195" i="1"/>
  <c r="O194" i="1"/>
  <c r="AA194" i="1"/>
  <c r="O193" i="1"/>
  <c r="AA193" i="1"/>
  <c r="O192" i="1"/>
  <c r="AA192" i="1"/>
  <c r="O191" i="1"/>
  <c r="AA191" i="1"/>
  <c r="O190" i="1"/>
  <c r="AA190" i="1"/>
  <c r="O189" i="1"/>
  <c r="AA189" i="1"/>
  <c r="O188" i="1"/>
  <c r="AA188" i="1"/>
  <c r="O187" i="1"/>
  <c r="AA187" i="1"/>
  <c r="O186" i="1"/>
  <c r="AA186" i="1"/>
  <c r="O185" i="1"/>
  <c r="AA185" i="1"/>
  <c r="O184" i="1"/>
  <c r="AA184" i="1"/>
  <c r="O183" i="1"/>
  <c r="AA183" i="1"/>
  <c r="O182" i="1"/>
  <c r="AA182" i="1"/>
  <c r="O181" i="1"/>
  <c r="AA181" i="1"/>
  <c r="O180" i="1"/>
  <c r="AA180" i="1"/>
  <c r="O179" i="1"/>
  <c r="AA179" i="1"/>
  <c r="O178" i="1"/>
  <c r="AA178" i="1"/>
  <c r="O177" i="1"/>
  <c r="AA177" i="1"/>
  <c r="O176" i="1"/>
  <c r="AA176" i="1"/>
  <c r="O175" i="1"/>
  <c r="AA175" i="1"/>
  <c r="O174" i="1"/>
  <c r="AA174" i="1"/>
  <c r="O173" i="1"/>
  <c r="AA173" i="1"/>
  <c r="O172" i="1"/>
  <c r="AA172" i="1"/>
  <c r="O171" i="1"/>
  <c r="AA171" i="1"/>
  <c r="O170" i="1"/>
  <c r="AA170" i="1"/>
  <c r="O169" i="1"/>
  <c r="AA169" i="1"/>
  <c r="O168" i="1"/>
  <c r="AA168" i="1"/>
  <c r="O167" i="1"/>
  <c r="AA167" i="1"/>
  <c r="O166" i="1"/>
  <c r="AA166" i="1"/>
  <c r="O165" i="1"/>
  <c r="AA165" i="1"/>
  <c r="O164" i="1"/>
  <c r="AA164" i="1"/>
  <c r="O163" i="1"/>
  <c r="AA163" i="1"/>
  <c r="O162" i="1"/>
  <c r="AA162" i="1"/>
  <c r="O161" i="1"/>
  <c r="AA161" i="1"/>
  <c r="O160" i="1"/>
  <c r="AA160" i="1"/>
  <c r="O159" i="1"/>
  <c r="AA159" i="1"/>
  <c r="O158" i="1"/>
  <c r="AA158" i="1"/>
  <c r="O157" i="1"/>
  <c r="AA157" i="1"/>
  <c r="O156" i="1"/>
  <c r="AA156" i="1"/>
  <c r="O155" i="1"/>
  <c r="AA155" i="1"/>
  <c r="O154" i="1"/>
  <c r="AA154" i="1"/>
  <c r="O153" i="1"/>
  <c r="AA153" i="1"/>
  <c r="O152" i="1"/>
  <c r="AA152" i="1"/>
  <c r="O151" i="1"/>
  <c r="AA151" i="1"/>
  <c r="O150" i="1"/>
  <c r="AA150" i="1"/>
  <c r="O149" i="1"/>
  <c r="AA149" i="1"/>
  <c r="O148" i="1"/>
  <c r="AA148" i="1"/>
  <c r="O147" i="1"/>
  <c r="AA147" i="1"/>
  <c r="O146" i="1"/>
  <c r="AA146" i="1"/>
  <c r="O145" i="1"/>
  <c r="AA145" i="1"/>
  <c r="O144" i="1"/>
  <c r="AA144" i="1"/>
  <c r="O143" i="1"/>
  <c r="AA143" i="1"/>
  <c r="O142" i="1"/>
  <c r="AA142" i="1"/>
  <c r="O141" i="1"/>
  <c r="AA141" i="1"/>
  <c r="O140" i="1"/>
  <c r="AA140" i="1"/>
  <c r="O139" i="1"/>
  <c r="AA139" i="1"/>
  <c r="O138" i="1"/>
  <c r="AA138" i="1"/>
  <c r="O137" i="1"/>
  <c r="AA137" i="1"/>
  <c r="O136" i="1"/>
  <c r="AA136" i="1"/>
  <c r="AA135" i="1"/>
  <c r="C134" i="1"/>
  <c r="O134" i="1"/>
  <c r="AA134" i="1"/>
  <c r="B136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134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Q136" i="1"/>
  <c r="R136" i="1"/>
  <c r="S136" i="1"/>
  <c r="Q137" i="1"/>
  <c r="R137" i="1"/>
  <c r="S137" i="1"/>
  <c r="Q138" i="1"/>
  <c r="R138" i="1"/>
  <c r="S138" i="1"/>
  <c r="Q139" i="1"/>
  <c r="R139" i="1"/>
  <c r="S139" i="1"/>
  <c r="Q140" i="1"/>
  <c r="R140" i="1"/>
  <c r="S140" i="1"/>
  <c r="Q141" i="1"/>
  <c r="R141" i="1"/>
  <c r="S141" i="1"/>
  <c r="Q142" i="1"/>
  <c r="R142" i="1"/>
  <c r="S142" i="1"/>
  <c r="Q143" i="1"/>
  <c r="R143" i="1"/>
  <c r="S143" i="1"/>
  <c r="Q144" i="1"/>
  <c r="R144" i="1"/>
  <c r="S144" i="1"/>
  <c r="Q145" i="1"/>
  <c r="R145" i="1"/>
  <c r="S145" i="1"/>
  <c r="Q146" i="1"/>
  <c r="R146" i="1"/>
  <c r="S146" i="1"/>
  <c r="Q147" i="1"/>
  <c r="R147" i="1"/>
  <c r="S147" i="1"/>
  <c r="Q148" i="1"/>
  <c r="R148" i="1"/>
  <c r="S148" i="1"/>
  <c r="Q149" i="1"/>
  <c r="R149" i="1"/>
  <c r="S149" i="1"/>
  <c r="Q150" i="1"/>
  <c r="R150" i="1"/>
  <c r="S150" i="1"/>
  <c r="Q151" i="1"/>
  <c r="R151" i="1"/>
  <c r="S151" i="1"/>
  <c r="Q152" i="1"/>
  <c r="R152" i="1"/>
  <c r="S152" i="1"/>
  <c r="Q153" i="1"/>
  <c r="R153" i="1"/>
  <c r="S153" i="1"/>
  <c r="Q154" i="1"/>
  <c r="R154" i="1"/>
  <c r="S154" i="1"/>
  <c r="Q155" i="1"/>
  <c r="R155" i="1"/>
  <c r="S155" i="1"/>
  <c r="Q156" i="1"/>
  <c r="R156" i="1"/>
  <c r="S156" i="1"/>
  <c r="Q157" i="1"/>
  <c r="R157" i="1"/>
  <c r="S157" i="1"/>
  <c r="Q158" i="1"/>
  <c r="R158" i="1"/>
  <c r="S158" i="1"/>
  <c r="Q159" i="1"/>
  <c r="R159" i="1"/>
  <c r="S159" i="1"/>
  <c r="Q160" i="1"/>
  <c r="R160" i="1"/>
  <c r="S160" i="1"/>
  <c r="Q161" i="1"/>
  <c r="R161" i="1"/>
  <c r="S161" i="1"/>
  <c r="Q162" i="1"/>
  <c r="R162" i="1"/>
  <c r="S162" i="1"/>
  <c r="Q163" i="1"/>
  <c r="R163" i="1"/>
  <c r="S163" i="1"/>
  <c r="Q164" i="1"/>
  <c r="R164" i="1"/>
  <c r="S164" i="1"/>
  <c r="Q165" i="1"/>
  <c r="R165" i="1"/>
  <c r="S165" i="1"/>
  <c r="Q166" i="1"/>
  <c r="R166" i="1"/>
  <c r="S166" i="1"/>
  <c r="Q167" i="1"/>
  <c r="R167" i="1"/>
  <c r="S167" i="1"/>
  <c r="Q168" i="1"/>
  <c r="R168" i="1"/>
  <c r="S168" i="1"/>
  <c r="Q169" i="1"/>
  <c r="R169" i="1"/>
  <c r="S169" i="1"/>
  <c r="Q170" i="1"/>
  <c r="R170" i="1"/>
  <c r="S170" i="1"/>
  <c r="Q171" i="1"/>
  <c r="R171" i="1"/>
  <c r="S171" i="1"/>
  <c r="Q172" i="1"/>
  <c r="R172" i="1"/>
  <c r="S172" i="1"/>
  <c r="Q173" i="1"/>
  <c r="R173" i="1"/>
  <c r="S173" i="1"/>
  <c r="Q174" i="1"/>
  <c r="R174" i="1"/>
  <c r="S174" i="1"/>
  <c r="Q175" i="1"/>
  <c r="R175" i="1"/>
  <c r="S175" i="1"/>
  <c r="Q176" i="1"/>
  <c r="R176" i="1"/>
  <c r="S176" i="1"/>
  <c r="Q177" i="1"/>
  <c r="R177" i="1"/>
  <c r="S177" i="1"/>
  <c r="Q178" i="1"/>
  <c r="R178" i="1"/>
  <c r="S178" i="1"/>
  <c r="Q179" i="1"/>
  <c r="R179" i="1"/>
  <c r="S179" i="1"/>
  <c r="Q180" i="1"/>
  <c r="R180" i="1"/>
  <c r="S180" i="1"/>
  <c r="Q181" i="1"/>
  <c r="R181" i="1"/>
  <c r="S181" i="1"/>
  <c r="Q182" i="1"/>
  <c r="R182" i="1"/>
  <c r="S182" i="1"/>
  <c r="Q183" i="1"/>
  <c r="R183" i="1"/>
  <c r="S183" i="1"/>
  <c r="Q184" i="1"/>
  <c r="R184" i="1"/>
  <c r="S184" i="1"/>
  <c r="Q185" i="1"/>
  <c r="R185" i="1"/>
  <c r="S185" i="1"/>
  <c r="Q186" i="1"/>
  <c r="R186" i="1"/>
  <c r="S186" i="1"/>
  <c r="Q187" i="1"/>
  <c r="R187" i="1"/>
  <c r="S187" i="1"/>
  <c r="Q188" i="1"/>
  <c r="R188" i="1"/>
  <c r="S188" i="1"/>
  <c r="Q189" i="1"/>
  <c r="R189" i="1"/>
  <c r="S189" i="1"/>
  <c r="Q190" i="1"/>
  <c r="R190" i="1"/>
  <c r="S190" i="1"/>
  <c r="Q191" i="1"/>
  <c r="R191" i="1"/>
  <c r="S191" i="1"/>
  <c r="Q192" i="1"/>
  <c r="R192" i="1"/>
  <c r="S192" i="1"/>
  <c r="Q193" i="1"/>
  <c r="R193" i="1"/>
  <c r="S193" i="1"/>
  <c r="Q194" i="1"/>
  <c r="R194" i="1"/>
  <c r="S194" i="1"/>
  <c r="Q195" i="1"/>
  <c r="R195" i="1"/>
  <c r="S195" i="1"/>
  <c r="Q196" i="1"/>
  <c r="R196" i="1"/>
  <c r="S196" i="1"/>
  <c r="Q197" i="1"/>
  <c r="R197" i="1"/>
  <c r="S197" i="1"/>
  <c r="Q198" i="1"/>
  <c r="R198" i="1"/>
  <c r="S198" i="1"/>
  <c r="Q199" i="1"/>
  <c r="R199" i="1"/>
  <c r="S199" i="1"/>
  <c r="Q200" i="1"/>
  <c r="R200" i="1"/>
  <c r="S200" i="1"/>
  <c r="Q201" i="1"/>
  <c r="R201" i="1"/>
  <c r="S201" i="1"/>
  <c r="Q202" i="1"/>
  <c r="R202" i="1"/>
  <c r="S202" i="1"/>
  <c r="Q203" i="1"/>
  <c r="R203" i="1"/>
  <c r="S203" i="1"/>
  <c r="Q204" i="1"/>
  <c r="R204" i="1"/>
  <c r="S204" i="1"/>
  <c r="Q205" i="1"/>
  <c r="R205" i="1"/>
  <c r="S205" i="1"/>
  <c r="Q206" i="1"/>
  <c r="R206" i="1"/>
  <c r="S206" i="1"/>
  <c r="Q207" i="1"/>
  <c r="R207" i="1"/>
  <c r="S207" i="1"/>
  <c r="Q208" i="1"/>
  <c r="R208" i="1"/>
  <c r="S208" i="1"/>
  <c r="Q209" i="1"/>
  <c r="R209" i="1"/>
  <c r="S209" i="1"/>
  <c r="Q210" i="1"/>
  <c r="R210" i="1"/>
  <c r="S210" i="1"/>
  <c r="Q211" i="1"/>
  <c r="R211" i="1"/>
  <c r="S211" i="1"/>
  <c r="Q212" i="1"/>
  <c r="R212" i="1"/>
  <c r="S212" i="1"/>
  <c r="Q213" i="1"/>
  <c r="R213" i="1"/>
  <c r="S213" i="1"/>
  <c r="Q214" i="1"/>
  <c r="R214" i="1"/>
  <c r="S214" i="1"/>
  <c r="Q215" i="1"/>
  <c r="R215" i="1"/>
  <c r="S215" i="1"/>
  <c r="Y135" i="1"/>
  <c r="X135" i="1"/>
  <c r="W135" i="1"/>
  <c r="V135" i="1"/>
  <c r="U135" i="1"/>
  <c r="T135" i="1"/>
  <c r="S135" i="1"/>
  <c r="R135" i="1"/>
  <c r="Q135" i="1"/>
  <c r="H107" i="1"/>
  <c r="D127" i="1"/>
  <c r="H109" i="1"/>
  <c r="H108" i="1"/>
  <c r="AG5" i="1"/>
  <c r="AG4" i="1"/>
  <c r="R3" i="1"/>
  <c r="S3" i="1"/>
  <c r="T3" i="1"/>
  <c r="R5" i="1"/>
  <c r="X5" i="1"/>
  <c r="S5" i="1"/>
  <c r="Y5" i="1"/>
  <c r="T5" i="1"/>
  <c r="Z5" i="1"/>
  <c r="AA5" i="1"/>
  <c r="Z136" i="1" a="1"/>
  <c r="Z136" i="1"/>
  <c r="AB136" i="1"/>
  <c r="AK136" i="1"/>
  <c r="Z137" i="1" a="1"/>
  <c r="Z137" i="1"/>
  <c r="AB137" i="1"/>
  <c r="AK137" i="1"/>
  <c r="Z138" i="1" a="1"/>
  <c r="Z138" i="1"/>
  <c r="AB138" i="1"/>
  <c r="AK138" i="1"/>
  <c r="Z139" i="1" a="1"/>
  <c r="Z139" i="1"/>
  <c r="AB139" i="1"/>
  <c r="AK139" i="1"/>
  <c r="Z140" i="1" a="1"/>
  <c r="Z140" i="1"/>
  <c r="AB140" i="1"/>
  <c r="AK140" i="1"/>
  <c r="Z141" i="1" a="1"/>
  <c r="Z141" i="1"/>
  <c r="AB141" i="1"/>
  <c r="AK141" i="1"/>
  <c r="Z142" i="1" a="1"/>
  <c r="Z142" i="1"/>
  <c r="AB142" i="1"/>
  <c r="AK142" i="1"/>
  <c r="Z143" i="1" a="1"/>
  <c r="Z143" i="1"/>
  <c r="AB143" i="1"/>
  <c r="AK143" i="1"/>
  <c r="Z144" i="1" a="1"/>
  <c r="Z144" i="1"/>
  <c r="AB144" i="1"/>
  <c r="AK144" i="1"/>
  <c r="Z145" i="1" a="1"/>
  <c r="Z145" i="1"/>
  <c r="AB145" i="1"/>
  <c r="AK145" i="1"/>
  <c r="Z146" i="1" a="1"/>
  <c r="Z146" i="1"/>
  <c r="AB146" i="1"/>
  <c r="AK146" i="1"/>
  <c r="Z147" i="1" a="1"/>
  <c r="Z147" i="1"/>
  <c r="AB147" i="1"/>
  <c r="AK147" i="1"/>
  <c r="Z148" i="1" a="1"/>
  <c r="Z148" i="1"/>
  <c r="AB148" i="1"/>
  <c r="AK148" i="1"/>
  <c r="Z149" i="1" a="1"/>
  <c r="Z149" i="1"/>
  <c r="AB149" i="1"/>
  <c r="AK149" i="1"/>
  <c r="Z150" i="1" a="1"/>
  <c r="Z150" i="1"/>
  <c r="AB150" i="1"/>
  <c r="AK150" i="1"/>
  <c r="Z151" i="1" a="1"/>
  <c r="Z151" i="1"/>
  <c r="AB151" i="1"/>
  <c r="AK151" i="1"/>
  <c r="Z152" i="1" a="1"/>
  <c r="Z152" i="1"/>
  <c r="AB152" i="1"/>
  <c r="AK152" i="1"/>
  <c r="Z153" i="1" a="1"/>
  <c r="Z153" i="1"/>
  <c r="AB153" i="1"/>
  <c r="AK153" i="1"/>
  <c r="Z154" i="1" a="1"/>
  <c r="Z154" i="1"/>
  <c r="AB154" i="1"/>
  <c r="AK154" i="1"/>
  <c r="Z155" i="1" a="1"/>
  <c r="Z155" i="1"/>
  <c r="AB155" i="1"/>
  <c r="AK155" i="1"/>
  <c r="Z156" i="1" a="1"/>
  <c r="Z156" i="1"/>
  <c r="AB156" i="1"/>
  <c r="AK156" i="1"/>
  <c r="Z157" i="1" a="1"/>
  <c r="Z157" i="1"/>
  <c r="AB157" i="1"/>
  <c r="AK157" i="1"/>
  <c r="Z158" i="1" a="1"/>
  <c r="Z158" i="1"/>
  <c r="AB158" i="1"/>
  <c r="AK158" i="1"/>
  <c r="Z159" i="1" a="1"/>
  <c r="Z159" i="1"/>
  <c r="AB159" i="1"/>
  <c r="AK159" i="1"/>
  <c r="Z160" i="1" a="1"/>
  <c r="Z160" i="1"/>
  <c r="AB160" i="1"/>
  <c r="AK160" i="1"/>
  <c r="Z161" i="1" a="1"/>
  <c r="Z161" i="1"/>
  <c r="AB161" i="1"/>
  <c r="AK161" i="1"/>
  <c r="Z162" i="1" a="1"/>
  <c r="Z162" i="1"/>
  <c r="AB162" i="1"/>
  <c r="AK162" i="1"/>
  <c r="Z163" i="1" a="1"/>
  <c r="Z163" i="1"/>
  <c r="AB163" i="1"/>
  <c r="AK163" i="1"/>
  <c r="Z164" i="1" a="1"/>
  <c r="Z164" i="1"/>
  <c r="AB164" i="1"/>
  <c r="AK164" i="1"/>
  <c r="Z165" i="1" a="1"/>
  <c r="Z165" i="1"/>
  <c r="AB165" i="1"/>
  <c r="AK165" i="1"/>
  <c r="Z166" i="1" a="1"/>
  <c r="Z166" i="1"/>
  <c r="AB166" i="1"/>
  <c r="AK166" i="1"/>
  <c r="Z167" i="1" a="1"/>
  <c r="Z167" i="1"/>
  <c r="AB167" i="1"/>
  <c r="AK167" i="1"/>
  <c r="Z168" i="1" a="1"/>
  <c r="Z168" i="1"/>
  <c r="AB168" i="1"/>
  <c r="AK168" i="1"/>
  <c r="Z169" i="1" a="1"/>
  <c r="Z169" i="1"/>
  <c r="AB169" i="1"/>
  <c r="AK169" i="1"/>
  <c r="Z170" i="1" a="1"/>
  <c r="Z170" i="1"/>
  <c r="AB170" i="1"/>
  <c r="AK170" i="1"/>
  <c r="Z171" i="1" a="1"/>
  <c r="Z171" i="1"/>
  <c r="AB171" i="1"/>
  <c r="AK171" i="1"/>
  <c r="Z172" i="1" a="1"/>
  <c r="Z172" i="1"/>
  <c r="AB172" i="1"/>
  <c r="AK172" i="1"/>
  <c r="Z173" i="1" a="1"/>
  <c r="Z173" i="1"/>
  <c r="AB173" i="1"/>
  <c r="AK173" i="1"/>
  <c r="Z174" i="1" a="1"/>
  <c r="Z174" i="1"/>
  <c r="AB174" i="1"/>
  <c r="AK174" i="1"/>
  <c r="Z175" i="1" a="1"/>
  <c r="Z175" i="1"/>
  <c r="AB175" i="1"/>
  <c r="AK175" i="1"/>
  <c r="Z176" i="1" a="1"/>
  <c r="Z176" i="1"/>
  <c r="AB176" i="1"/>
  <c r="AK176" i="1"/>
  <c r="Z177" i="1" a="1"/>
  <c r="Z177" i="1"/>
  <c r="AB177" i="1"/>
  <c r="AK177" i="1"/>
  <c r="Z178" i="1" a="1"/>
  <c r="Z178" i="1"/>
  <c r="AB178" i="1"/>
  <c r="AK178" i="1"/>
  <c r="Z179" i="1" a="1"/>
  <c r="Z179" i="1"/>
  <c r="AB179" i="1"/>
  <c r="AK179" i="1"/>
  <c r="Z180" i="1" a="1"/>
  <c r="Z180" i="1"/>
  <c r="AB180" i="1"/>
  <c r="AK180" i="1"/>
  <c r="Z181" i="1" a="1"/>
  <c r="Z181" i="1"/>
  <c r="AB181" i="1"/>
  <c r="AK181" i="1"/>
  <c r="Z182" i="1" a="1"/>
  <c r="Z182" i="1"/>
  <c r="AB182" i="1"/>
  <c r="AK182" i="1"/>
  <c r="Z183" i="1" a="1"/>
  <c r="Z183" i="1"/>
  <c r="AB183" i="1"/>
  <c r="AK183" i="1"/>
  <c r="Z184" i="1" a="1"/>
  <c r="Z184" i="1"/>
  <c r="AB184" i="1"/>
  <c r="AK184" i="1"/>
  <c r="Z185" i="1" a="1"/>
  <c r="Z185" i="1"/>
  <c r="AB185" i="1"/>
  <c r="AK185" i="1"/>
  <c r="Z186" i="1" a="1"/>
  <c r="Z186" i="1"/>
  <c r="AB186" i="1"/>
  <c r="AK186" i="1"/>
  <c r="Z187" i="1" a="1"/>
  <c r="Z187" i="1"/>
  <c r="AB187" i="1"/>
  <c r="AK187" i="1"/>
  <c r="Z188" i="1" a="1"/>
  <c r="Z188" i="1"/>
  <c r="AB188" i="1"/>
  <c r="AK188" i="1"/>
  <c r="Z189" i="1" a="1"/>
  <c r="Z189" i="1"/>
  <c r="AB189" i="1"/>
  <c r="AK189" i="1"/>
  <c r="Z190" i="1" a="1"/>
  <c r="Z190" i="1"/>
  <c r="AB190" i="1"/>
  <c r="AK190" i="1"/>
  <c r="Z191" i="1" a="1"/>
  <c r="Z191" i="1"/>
  <c r="AB191" i="1"/>
  <c r="AK191" i="1"/>
  <c r="Z192" i="1" a="1"/>
  <c r="Z192" i="1"/>
  <c r="AB192" i="1"/>
  <c r="AK192" i="1"/>
  <c r="Z193" i="1" a="1"/>
  <c r="Z193" i="1"/>
  <c r="AB193" i="1"/>
  <c r="AK193" i="1"/>
  <c r="Z194" i="1" a="1"/>
  <c r="Z194" i="1"/>
  <c r="AB194" i="1"/>
  <c r="AK194" i="1"/>
  <c r="Z195" i="1" a="1"/>
  <c r="Z195" i="1"/>
  <c r="AB195" i="1"/>
  <c r="AK195" i="1"/>
  <c r="Z196" i="1" a="1"/>
  <c r="Z196" i="1"/>
  <c r="AB196" i="1"/>
  <c r="AK196" i="1"/>
  <c r="Z197" i="1" a="1"/>
  <c r="Z197" i="1"/>
  <c r="AB197" i="1"/>
  <c r="AK197" i="1"/>
  <c r="Z198" i="1" a="1"/>
  <c r="Z198" i="1"/>
  <c r="AB198" i="1"/>
  <c r="AK198" i="1"/>
  <c r="Z199" i="1" a="1"/>
  <c r="Z199" i="1"/>
  <c r="AB199" i="1"/>
  <c r="AK199" i="1"/>
  <c r="Z200" i="1" a="1"/>
  <c r="Z200" i="1"/>
  <c r="AB200" i="1"/>
  <c r="AK200" i="1"/>
  <c r="Z201" i="1" a="1"/>
  <c r="Z201" i="1"/>
  <c r="AB201" i="1"/>
  <c r="AK201" i="1"/>
  <c r="Z202" i="1" a="1"/>
  <c r="Z202" i="1"/>
  <c r="AB202" i="1"/>
  <c r="AK202" i="1"/>
  <c r="Z203" i="1" a="1"/>
  <c r="Z203" i="1"/>
  <c r="AB203" i="1"/>
  <c r="AK203" i="1"/>
  <c r="Z204" i="1" a="1"/>
  <c r="Z204" i="1"/>
  <c r="AB204" i="1"/>
  <c r="AK204" i="1"/>
  <c r="Z205" i="1" a="1"/>
  <c r="Z205" i="1"/>
  <c r="AB205" i="1"/>
  <c r="AK205" i="1"/>
  <c r="Z206" i="1" a="1"/>
  <c r="Z206" i="1"/>
  <c r="AB206" i="1"/>
  <c r="AK206" i="1"/>
  <c r="Z207" i="1" a="1"/>
  <c r="Z207" i="1"/>
  <c r="AB207" i="1"/>
  <c r="AK207" i="1"/>
  <c r="Z208" i="1" a="1"/>
  <c r="Z208" i="1"/>
  <c r="AB208" i="1"/>
  <c r="AK208" i="1"/>
  <c r="Z209" i="1" a="1"/>
  <c r="Z209" i="1"/>
  <c r="AB209" i="1"/>
  <c r="AK209" i="1"/>
  <c r="Z210" i="1" a="1"/>
  <c r="Z210" i="1"/>
  <c r="AB210" i="1"/>
  <c r="AK210" i="1"/>
  <c r="Z211" i="1" a="1"/>
  <c r="Z211" i="1"/>
  <c r="AB211" i="1"/>
  <c r="AK211" i="1"/>
  <c r="Z212" i="1" a="1"/>
  <c r="Z212" i="1"/>
  <c r="AB212" i="1"/>
  <c r="AK212" i="1"/>
  <c r="Z213" i="1" a="1"/>
  <c r="Z213" i="1"/>
  <c r="AB213" i="1"/>
  <c r="AK213" i="1"/>
  <c r="Z214" i="1" a="1"/>
  <c r="Z214" i="1"/>
  <c r="AB214" i="1"/>
  <c r="AK214" i="1"/>
  <c r="Z215" i="1" a="1"/>
  <c r="Z215" i="1"/>
  <c r="AB215" i="1"/>
  <c r="AK21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13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L215" i="1"/>
  <c r="AM215" i="1"/>
  <c r="AL214" i="1"/>
  <c r="AM214" i="1"/>
  <c r="AL213" i="1"/>
  <c r="AM213" i="1"/>
  <c r="AL212" i="1"/>
  <c r="AM212" i="1"/>
  <c r="AL211" i="1"/>
  <c r="AM211" i="1"/>
  <c r="AL210" i="1"/>
  <c r="AM210" i="1"/>
  <c r="AL209" i="1"/>
  <c r="AM209" i="1"/>
  <c r="AL208" i="1"/>
  <c r="AM208" i="1"/>
  <c r="AL207" i="1"/>
  <c r="AM207" i="1"/>
  <c r="AL206" i="1"/>
  <c r="AM206" i="1"/>
  <c r="AL205" i="1"/>
  <c r="AM205" i="1"/>
  <c r="AL204" i="1"/>
  <c r="AM204" i="1"/>
  <c r="AL203" i="1"/>
  <c r="AM203" i="1"/>
  <c r="AL202" i="1"/>
  <c r="AM202" i="1"/>
  <c r="AL201" i="1"/>
  <c r="AM201" i="1"/>
  <c r="AL200" i="1"/>
  <c r="AM200" i="1"/>
  <c r="AL199" i="1"/>
  <c r="AM199" i="1"/>
  <c r="AL198" i="1"/>
  <c r="AM198" i="1"/>
  <c r="AL197" i="1"/>
  <c r="AM197" i="1"/>
  <c r="AL196" i="1"/>
  <c r="AM196" i="1"/>
  <c r="AL195" i="1"/>
  <c r="AM195" i="1"/>
  <c r="AL194" i="1"/>
  <c r="AM194" i="1"/>
  <c r="AL193" i="1"/>
  <c r="AM193" i="1"/>
  <c r="AL192" i="1"/>
  <c r="AM192" i="1"/>
  <c r="AL191" i="1"/>
  <c r="AM191" i="1"/>
  <c r="AL190" i="1"/>
  <c r="AM190" i="1"/>
  <c r="AL189" i="1"/>
  <c r="AM189" i="1"/>
  <c r="AL188" i="1"/>
  <c r="AM188" i="1"/>
  <c r="AL187" i="1"/>
  <c r="AM187" i="1"/>
  <c r="AL186" i="1"/>
  <c r="AM186" i="1"/>
  <c r="AL185" i="1"/>
  <c r="AM185" i="1"/>
  <c r="AL184" i="1"/>
  <c r="AM184" i="1"/>
  <c r="AL183" i="1"/>
  <c r="AM183" i="1"/>
  <c r="AL182" i="1"/>
  <c r="AM182" i="1"/>
  <c r="AL181" i="1"/>
  <c r="AM181" i="1"/>
  <c r="AL180" i="1"/>
  <c r="AM180" i="1"/>
  <c r="AL179" i="1"/>
  <c r="AM179" i="1"/>
  <c r="AL178" i="1"/>
  <c r="AM178" i="1"/>
  <c r="AL177" i="1"/>
  <c r="AM177" i="1"/>
  <c r="AL176" i="1"/>
  <c r="AM176" i="1"/>
  <c r="AL175" i="1"/>
  <c r="AM175" i="1"/>
  <c r="AL174" i="1"/>
  <c r="AM174" i="1"/>
  <c r="AL173" i="1"/>
  <c r="AM173" i="1"/>
  <c r="AL172" i="1"/>
  <c r="AM172" i="1"/>
  <c r="AL171" i="1"/>
  <c r="AM171" i="1"/>
  <c r="AL170" i="1"/>
  <c r="AM170" i="1"/>
  <c r="AL169" i="1"/>
  <c r="AM169" i="1"/>
  <c r="AL168" i="1"/>
  <c r="AM168" i="1"/>
  <c r="AL167" i="1"/>
  <c r="AM167" i="1"/>
  <c r="AL166" i="1"/>
  <c r="AM166" i="1"/>
  <c r="AL165" i="1"/>
  <c r="AM165" i="1"/>
  <c r="AL164" i="1"/>
  <c r="AM164" i="1"/>
  <c r="AL163" i="1"/>
  <c r="AM163" i="1"/>
  <c r="AL162" i="1"/>
  <c r="AM162" i="1"/>
  <c r="AL161" i="1"/>
  <c r="AM161" i="1"/>
  <c r="AL160" i="1"/>
  <c r="AM160" i="1"/>
  <c r="AL159" i="1"/>
  <c r="AM159" i="1"/>
  <c r="AL158" i="1"/>
  <c r="AM158" i="1"/>
  <c r="AL157" i="1"/>
  <c r="AM157" i="1"/>
  <c r="AL156" i="1"/>
  <c r="AM156" i="1"/>
  <c r="AL155" i="1"/>
  <c r="AM155" i="1"/>
  <c r="AL154" i="1"/>
  <c r="AM154" i="1"/>
  <c r="AL153" i="1"/>
  <c r="AM153" i="1"/>
  <c r="AL152" i="1"/>
  <c r="AM152" i="1"/>
  <c r="AL151" i="1"/>
  <c r="AM151" i="1"/>
  <c r="AL150" i="1"/>
  <c r="AM150" i="1"/>
  <c r="AL149" i="1"/>
  <c r="AM149" i="1"/>
  <c r="AL148" i="1"/>
  <c r="AM148" i="1"/>
  <c r="AL147" i="1"/>
  <c r="AM147" i="1"/>
  <c r="AL146" i="1"/>
  <c r="AM146" i="1"/>
  <c r="AL145" i="1"/>
  <c r="AM145" i="1"/>
  <c r="AL144" i="1"/>
  <c r="AM144" i="1"/>
  <c r="AL143" i="1"/>
  <c r="AM143" i="1"/>
  <c r="AL142" i="1"/>
  <c r="AM142" i="1"/>
  <c r="AL141" i="1"/>
  <c r="AM141" i="1"/>
  <c r="AL140" i="1"/>
  <c r="AM140" i="1"/>
  <c r="AL139" i="1"/>
  <c r="AM139" i="1"/>
  <c r="AL138" i="1"/>
  <c r="AM138" i="1"/>
  <c r="AL137" i="1"/>
  <c r="AM137" i="1"/>
  <c r="AL136" i="1"/>
  <c r="AM136" i="1"/>
  <c r="AN136" i="1"/>
  <c r="AP136" i="1"/>
  <c r="AN215" i="1"/>
  <c r="AP215" i="1"/>
  <c r="AN214" i="1"/>
  <c r="AP214" i="1"/>
  <c r="AN213" i="1"/>
  <c r="AP213" i="1"/>
  <c r="AN212" i="1"/>
  <c r="AP212" i="1"/>
  <c r="AN211" i="1"/>
  <c r="AP211" i="1"/>
  <c r="AN210" i="1"/>
  <c r="AP210" i="1"/>
  <c r="AN209" i="1"/>
  <c r="AP209" i="1"/>
  <c r="AN208" i="1"/>
  <c r="AP208" i="1"/>
  <c r="AN207" i="1"/>
  <c r="AP207" i="1"/>
  <c r="AN206" i="1"/>
  <c r="AP206" i="1"/>
  <c r="AN205" i="1"/>
  <c r="AP205" i="1"/>
  <c r="AN204" i="1"/>
  <c r="AP204" i="1"/>
  <c r="AN203" i="1"/>
  <c r="AP203" i="1"/>
  <c r="AN202" i="1"/>
  <c r="AP202" i="1"/>
  <c r="AN201" i="1"/>
  <c r="AP201" i="1"/>
  <c r="AN200" i="1"/>
  <c r="AP200" i="1"/>
  <c r="AN199" i="1"/>
  <c r="AP199" i="1"/>
  <c r="AN198" i="1"/>
  <c r="AP198" i="1"/>
  <c r="AN197" i="1"/>
  <c r="AP197" i="1"/>
  <c r="AN196" i="1"/>
  <c r="AP196" i="1"/>
  <c r="AN195" i="1"/>
  <c r="AP195" i="1"/>
  <c r="AN194" i="1"/>
  <c r="AP194" i="1"/>
  <c r="AN193" i="1"/>
  <c r="AP193" i="1"/>
  <c r="AN192" i="1"/>
  <c r="AP192" i="1"/>
  <c r="AN191" i="1"/>
  <c r="AP191" i="1"/>
  <c r="AN190" i="1"/>
  <c r="AP190" i="1"/>
  <c r="AN189" i="1"/>
  <c r="AP189" i="1"/>
  <c r="AN188" i="1"/>
  <c r="AP188" i="1"/>
  <c r="AN187" i="1"/>
  <c r="AP187" i="1"/>
  <c r="AN186" i="1"/>
  <c r="AP186" i="1"/>
  <c r="AN185" i="1"/>
  <c r="AP185" i="1"/>
  <c r="AN184" i="1"/>
  <c r="AP184" i="1"/>
  <c r="AN183" i="1"/>
  <c r="AP183" i="1"/>
  <c r="AN182" i="1"/>
  <c r="AP182" i="1"/>
  <c r="AN181" i="1"/>
  <c r="AP181" i="1"/>
  <c r="AN180" i="1"/>
  <c r="AP180" i="1"/>
  <c r="AN179" i="1"/>
  <c r="AP179" i="1"/>
  <c r="AN178" i="1"/>
  <c r="AP178" i="1"/>
  <c r="AN177" i="1"/>
  <c r="AP177" i="1"/>
  <c r="AN176" i="1"/>
  <c r="AP176" i="1"/>
  <c r="AN175" i="1"/>
  <c r="AP175" i="1"/>
  <c r="AN174" i="1"/>
  <c r="AP174" i="1"/>
  <c r="AN173" i="1"/>
  <c r="AP173" i="1"/>
  <c r="AN172" i="1"/>
  <c r="AP172" i="1"/>
  <c r="AN171" i="1"/>
  <c r="AP171" i="1"/>
  <c r="AN170" i="1"/>
  <c r="AP170" i="1"/>
  <c r="AN169" i="1"/>
  <c r="AP169" i="1"/>
  <c r="AN168" i="1"/>
  <c r="AP168" i="1"/>
  <c r="AN167" i="1"/>
  <c r="AP167" i="1"/>
  <c r="AN166" i="1"/>
  <c r="AP166" i="1"/>
  <c r="AN165" i="1"/>
  <c r="AP165" i="1"/>
  <c r="AN164" i="1"/>
  <c r="AP164" i="1"/>
  <c r="AN163" i="1"/>
  <c r="AP163" i="1"/>
  <c r="AN162" i="1"/>
  <c r="AP162" i="1"/>
  <c r="AN161" i="1"/>
  <c r="AP161" i="1"/>
  <c r="AN160" i="1"/>
  <c r="AP160" i="1"/>
  <c r="AN159" i="1"/>
  <c r="AP159" i="1"/>
  <c r="AN158" i="1"/>
  <c r="AP158" i="1"/>
  <c r="AN157" i="1"/>
  <c r="AP157" i="1"/>
  <c r="AN156" i="1"/>
  <c r="AP156" i="1"/>
  <c r="AN155" i="1"/>
  <c r="AP155" i="1"/>
  <c r="AN154" i="1"/>
  <c r="AP154" i="1"/>
  <c r="AN153" i="1"/>
  <c r="AP153" i="1"/>
  <c r="AN152" i="1"/>
  <c r="AP152" i="1"/>
  <c r="AN151" i="1"/>
  <c r="AP151" i="1"/>
  <c r="AN150" i="1"/>
  <c r="AP150" i="1"/>
  <c r="AN149" i="1"/>
  <c r="AP149" i="1"/>
  <c r="AN148" i="1"/>
  <c r="AP148" i="1"/>
  <c r="AN147" i="1"/>
  <c r="AP147" i="1"/>
  <c r="AN146" i="1"/>
  <c r="AP146" i="1"/>
  <c r="AN145" i="1"/>
  <c r="AP145" i="1"/>
  <c r="AN144" i="1"/>
  <c r="AP144" i="1"/>
  <c r="AN143" i="1"/>
  <c r="AP143" i="1"/>
  <c r="AN142" i="1"/>
  <c r="AP142" i="1"/>
  <c r="AN141" i="1"/>
  <c r="AP141" i="1"/>
  <c r="AN140" i="1"/>
  <c r="AP140" i="1"/>
  <c r="AN139" i="1"/>
  <c r="AP139" i="1"/>
  <c r="AN138" i="1"/>
  <c r="AP138" i="1"/>
  <c r="AN137" i="1"/>
  <c r="AP137" i="1"/>
  <c r="AO136" i="1"/>
  <c r="AQ136" i="1"/>
  <c r="AO215" i="1"/>
  <c r="AQ215" i="1"/>
  <c r="AO214" i="1"/>
  <c r="AQ214" i="1"/>
  <c r="AO213" i="1"/>
  <c r="AQ213" i="1"/>
  <c r="AO212" i="1"/>
  <c r="AQ212" i="1"/>
  <c r="AO211" i="1"/>
  <c r="AQ211" i="1"/>
  <c r="AO210" i="1"/>
  <c r="AQ210" i="1"/>
  <c r="AO209" i="1"/>
  <c r="AQ209" i="1"/>
  <c r="AO208" i="1"/>
  <c r="AQ208" i="1"/>
  <c r="AO207" i="1"/>
  <c r="AQ207" i="1"/>
  <c r="AO206" i="1"/>
  <c r="AQ206" i="1"/>
  <c r="AO205" i="1"/>
  <c r="AQ205" i="1"/>
  <c r="AO204" i="1"/>
  <c r="AQ204" i="1"/>
  <c r="AO203" i="1"/>
  <c r="AQ203" i="1"/>
  <c r="AO202" i="1"/>
  <c r="AQ202" i="1"/>
  <c r="AO201" i="1"/>
  <c r="AQ201" i="1"/>
  <c r="AO200" i="1"/>
  <c r="AQ200" i="1"/>
  <c r="AO199" i="1"/>
  <c r="AQ199" i="1"/>
  <c r="AO198" i="1"/>
  <c r="AQ198" i="1"/>
  <c r="AO197" i="1"/>
  <c r="AQ197" i="1"/>
  <c r="AO196" i="1"/>
  <c r="AQ196" i="1"/>
  <c r="AO195" i="1"/>
  <c r="AQ195" i="1"/>
  <c r="AO194" i="1"/>
  <c r="AQ194" i="1"/>
  <c r="AO193" i="1"/>
  <c r="AQ193" i="1"/>
  <c r="AO192" i="1"/>
  <c r="AQ192" i="1"/>
  <c r="AO191" i="1"/>
  <c r="AQ191" i="1"/>
  <c r="AO190" i="1"/>
  <c r="AQ190" i="1"/>
  <c r="AO189" i="1"/>
  <c r="AQ189" i="1"/>
  <c r="AO188" i="1"/>
  <c r="AQ188" i="1"/>
  <c r="AO187" i="1"/>
  <c r="AQ187" i="1"/>
  <c r="AO186" i="1"/>
  <c r="AQ186" i="1"/>
  <c r="AO185" i="1"/>
  <c r="AQ185" i="1"/>
  <c r="AO184" i="1"/>
  <c r="AQ184" i="1"/>
  <c r="AO183" i="1"/>
  <c r="AQ183" i="1"/>
  <c r="AO182" i="1"/>
  <c r="AQ182" i="1"/>
  <c r="AO181" i="1"/>
  <c r="AQ181" i="1"/>
  <c r="AO180" i="1"/>
  <c r="AQ180" i="1"/>
  <c r="AO179" i="1"/>
  <c r="AQ179" i="1"/>
  <c r="AO178" i="1"/>
  <c r="AQ178" i="1"/>
  <c r="AO177" i="1"/>
  <c r="AQ177" i="1"/>
  <c r="AO176" i="1"/>
  <c r="AQ176" i="1"/>
  <c r="AO175" i="1"/>
  <c r="AQ175" i="1"/>
  <c r="AO174" i="1"/>
  <c r="AQ174" i="1"/>
  <c r="AO173" i="1"/>
  <c r="AQ173" i="1"/>
  <c r="AO172" i="1"/>
  <c r="AQ172" i="1"/>
  <c r="AO171" i="1"/>
  <c r="AQ171" i="1"/>
  <c r="AO170" i="1"/>
  <c r="AQ170" i="1"/>
  <c r="AO169" i="1"/>
  <c r="AQ169" i="1"/>
  <c r="AO168" i="1"/>
  <c r="AQ168" i="1"/>
  <c r="AO167" i="1"/>
  <c r="AQ167" i="1"/>
  <c r="AO166" i="1"/>
  <c r="AQ166" i="1"/>
  <c r="AO165" i="1"/>
  <c r="AQ165" i="1"/>
  <c r="AO164" i="1"/>
  <c r="AQ164" i="1"/>
  <c r="AO163" i="1"/>
  <c r="AQ163" i="1"/>
  <c r="AO162" i="1"/>
  <c r="AQ162" i="1"/>
  <c r="AO161" i="1"/>
  <c r="AQ161" i="1"/>
  <c r="AO160" i="1"/>
  <c r="AQ160" i="1"/>
  <c r="AO159" i="1"/>
  <c r="AQ159" i="1"/>
  <c r="AO158" i="1"/>
  <c r="AQ158" i="1"/>
  <c r="AO157" i="1"/>
  <c r="AQ157" i="1"/>
  <c r="AO156" i="1"/>
  <c r="AQ156" i="1"/>
  <c r="AO155" i="1"/>
  <c r="AQ155" i="1"/>
  <c r="AO154" i="1"/>
  <c r="AQ154" i="1"/>
  <c r="AO153" i="1"/>
  <c r="AQ153" i="1"/>
  <c r="AO152" i="1"/>
  <c r="AQ152" i="1"/>
  <c r="AO151" i="1"/>
  <c r="AQ151" i="1"/>
  <c r="AO150" i="1"/>
  <c r="AQ150" i="1"/>
  <c r="AO149" i="1"/>
  <c r="AQ149" i="1"/>
  <c r="AO148" i="1"/>
  <c r="AQ148" i="1"/>
  <c r="AO147" i="1"/>
  <c r="AQ147" i="1"/>
  <c r="AO146" i="1"/>
  <c r="AQ146" i="1"/>
  <c r="AO145" i="1"/>
  <c r="AQ145" i="1"/>
  <c r="AO144" i="1"/>
  <c r="AQ144" i="1"/>
  <c r="AO143" i="1"/>
  <c r="AQ143" i="1"/>
  <c r="AO142" i="1"/>
  <c r="AQ142" i="1"/>
  <c r="AO141" i="1"/>
  <c r="AQ141" i="1"/>
  <c r="AO140" i="1"/>
  <c r="AQ140" i="1"/>
  <c r="AO139" i="1"/>
  <c r="AQ139" i="1"/>
  <c r="AO138" i="1"/>
  <c r="AQ138" i="1"/>
  <c r="AO137" i="1"/>
  <c r="AQ137" i="1"/>
  <c r="AO135" i="1"/>
  <c r="AM135" i="1"/>
  <c r="AN135" i="1"/>
  <c r="N135" i="1" a="1"/>
  <c r="N135" i="1"/>
  <c r="Z135" i="1" a="1"/>
  <c r="Z135" i="1"/>
  <c r="AB135" i="1"/>
  <c r="AC135" i="1"/>
  <c r="AD135" i="1"/>
  <c r="AE135" i="1"/>
  <c r="AF135" i="1"/>
  <c r="AH135" i="1"/>
  <c r="AI135" i="1"/>
  <c r="AJ135" i="1"/>
  <c r="AK135" i="1"/>
  <c r="AG135" i="1"/>
  <c r="AL135" i="1"/>
</calcChain>
</file>

<file path=xl/sharedStrings.xml><?xml version="1.0" encoding="utf-8"?>
<sst xmlns="http://schemas.openxmlformats.org/spreadsheetml/2006/main" count="603" uniqueCount="276">
  <si>
    <t>Tangential</t>
  </si>
  <si>
    <t>Minimum Curvature</t>
  </si>
  <si>
    <t>KOP:</t>
  </si>
  <si>
    <t>in</t>
  </si>
  <si>
    <t>cm</t>
  </si>
  <si>
    <t>ft</t>
  </si>
  <si>
    <t>m</t>
  </si>
  <si>
    <t>km</t>
  </si>
  <si>
    <t>mi</t>
  </si>
  <si>
    <t>Increment:</t>
  </si>
  <si>
    <t>radians</t>
  </si>
  <si>
    <t>Rate of Build:</t>
  </si>
  <si>
    <t>°/100 ft</t>
  </si>
  <si>
    <t>°/100 m</t>
  </si>
  <si>
    <t>radians/100 ft</t>
  </si>
  <si>
    <t>radians/100 m</t>
  </si>
  <si>
    <t xml:space="preserve"> Build Inputs:</t>
  </si>
  <si>
    <t>Turn Rate:</t>
  </si>
  <si>
    <t>Surface Input:</t>
  </si>
  <si>
    <t>Hold Inputs:</t>
  </si>
  <si>
    <t>Drop Inputs:</t>
  </si>
  <si>
    <t>Destination Input:</t>
  </si>
  <si>
    <t>Increment</t>
  </si>
  <si>
    <t>north</t>
  </si>
  <si>
    <t>east</t>
  </si>
  <si>
    <t>Lead Angle:</t>
  </si>
  <si>
    <t>Rate of Drop:</t>
  </si>
  <si>
    <t xml:space="preserve"> </t>
  </si>
  <si>
    <t>Azimuth Input:</t>
  </si>
  <si>
    <t>MD at Build:</t>
  </si>
  <si>
    <t>MD at Hold:</t>
  </si>
  <si>
    <t>degrees</t>
  </si>
  <si>
    <t>TVD at Build:</t>
  </si>
  <si>
    <t>TVD at Hold:</t>
  </si>
  <si>
    <t>Inclination angle:</t>
  </si>
  <si>
    <t>Outputs BHD:</t>
  </si>
  <si>
    <t>Inclination Angle:</t>
  </si>
  <si>
    <t>Outputs BD:</t>
  </si>
  <si>
    <t>D2</t>
  </si>
  <si>
    <t>Total TVD</t>
  </si>
  <si>
    <t>D3</t>
  </si>
  <si>
    <t>D4</t>
  </si>
  <si>
    <t>MD total:</t>
  </si>
  <si>
    <t>Section</t>
  </si>
  <si>
    <t>Compass</t>
  </si>
  <si>
    <t>Angle Averaging</t>
  </si>
  <si>
    <t>Radius of Curvature</t>
  </si>
  <si>
    <t>Balanced Tangential</t>
  </si>
  <si>
    <t>Constant Curvature</t>
  </si>
  <si>
    <t>Walstrom</t>
  </si>
  <si>
    <t>Mercury</t>
  </si>
  <si>
    <t>IncAng (deg)</t>
  </si>
  <si>
    <t>dX (ft)</t>
  </si>
  <si>
    <t>dY (ft)</t>
  </si>
  <si>
    <t>dZ (ft)</t>
  </si>
  <si>
    <t>KOP</t>
  </si>
  <si>
    <t>Build</t>
  </si>
  <si>
    <t>Hold</t>
  </si>
  <si>
    <t>Drop</t>
  </si>
  <si>
    <t>#</t>
  </si>
  <si>
    <t>S31W</t>
  </si>
  <si>
    <t>S30W</t>
  </si>
  <si>
    <t>N0.3W</t>
  </si>
  <si>
    <t>N0.6W</t>
  </si>
  <si>
    <t>N0.8W</t>
  </si>
  <si>
    <t>N1W</t>
  </si>
  <si>
    <t>N1.5W</t>
  </si>
  <si>
    <t>N1.6W</t>
  </si>
  <si>
    <t>N2.2W</t>
  </si>
  <si>
    <t>N2.3W</t>
  </si>
  <si>
    <t>N1.8W</t>
  </si>
  <si>
    <t>N1.1W</t>
  </si>
  <si>
    <t>N0.4W</t>
  </si>
  <si>
    <t>Tol</t>
  </si>
  <si>
    <t>Hit Target?</t>
  </si>
  <si>
    <t>YES HIT TARGET</t>
  </si>
  <si>
    <t>*note: Click A1 to choose method</t>
  </si>
  <si>
    <t>*note: Click unit cells to change units</t>
  </si>
  <si>
    <t>Az Compass(deg)</t>
  </si>
  <si>
    <t>MD (ft)</t>
  </si>
  <si>
    <t>Azimuth</t>
  </si>
  <si>
    <t>X</t>
  </si>
  <si>
    <t>Y</t>
  </si>
  <si>
    <t>Z</t>
  </si>
  <si>
    <t>dX</t>
  </si>
  <si>
    <t>dy</t>
  </si>
  <si>
    <t>dz</t>
  </si>
  <si>
    <t>dMD</t>
  </si>
  <si>
    <t>S60W</t>
  </si>
  <si>
    <t>S61W</t>
  </si>
  <si>
    <t>S71W</t>
  </si>
  <si>
    <t>S16E</t>
  </si>
  <si>
    <t>N45E</t>
  </si>
  <si>
    <t>N22W</t>
  </si>
  <si>
    <t>S20W</t>
  </si>
  <si>
    <t>S15W</t>
  </si>
  <si>
    <t>S17W</t>
  </si>
  <si>
    <t>S25W</t>
  </si>
  <si>
    <t>S23W</t>
  </si>
  <si>
    <t>S22W</t>
  </si>
  <si>
    <t>S19W</t>
  </si>
  <si>
    <t>S21W</t>
  </si>
  <si>
    <t>S24W</t>
  </si>
  <si>
    <t>S27W</t>
  </si>
  <si>
    <t>S28W</t>
  </si>
  <si>
    <t>S32W</t>
  </si>
  <si>
    <t>S33W</t>
  </si>
  <si>
    <t>S34W</t>
  </si>
  <si>
    <t>S37W</t>
  </si>
  <si>
    <t>S35W</t>
  </si>
  <si>
    <t>S38W</t>
  </si>
  <si>
    <t>S36W</t>
  </si>
  <si>
    <t>S39W</t>
  </si>
  <si>
    <t>S42W</t>
  </si>
  <si>
    <t>S43W</t>
  </si>
  <si>
    <t>S47W</t>
  </si>
  <si>
    <t>S80W</t>
  </si>
  <si>
    <t>S65W</t>
  </si>
  <si>
    <t>N0.7W</t>
  </si>
  <si>
    <t>N0.9W</t>
  </si>
  <si>
    <t>N1.2W</t>
  </si>
  <si>
    <t>N1.4W</t>
  </si>
  <si>
    <t>N1.7W</t>
  </si>
  <si>
    <t>N1.9W</t>
  </si>
  <si>
    <t>N2.1W</t>
  </si>
  <si>
    <t>N2.4W</t>
  </si>
  <si>
    <t>LEGEND</t>
  </si>
  <si>
    <t>Outputs</t>
  </si>
  <si>
    <t>Inputs</t>
  </si>
  <si>
    <t>Yellow:</t>
  </si>
  <si>
    <t>Green:</t>
  </si>
  <si>
    <t>N1.3W</t>
  </si>
  <si>
    <r>
      <t>X</t>
    </r>
    <r>
      <rPr>
        <vertAlign val="subscript"/>
        <sz val="14"/>
        <color theme="1"/>
        <rFont val="Calibri"/>
        <family val="2"/>
        <scheme val="minor"/>
      </rPr>
      <t>o</t>
    </r>
  </si>
  <si>
    <r>
      <t>Y</t>
    </r>
    <r>
      <rPr>
        <vertAlign val="subscript"/>
        <sz val="14"/>
        <color theme="1"/>
        <rFont val="Calibri"/>
        <family val="2"/>
        <scheme val="minor"/>
      </rPr>
      <t>o</t>
    </r>
  </si>
  <si>
    <r>
      <t>Z</t>
    </r>
    <r>
      <rPr>
        <vertAlign val="subscript"/>
        <sz val="14"/>
        <color theme="1"/>
        <rFont val="Calibri"/>
        <family val="2"/>
        <scheme val="minor"/>
      </rPr>
      <t>o</t>
    </r>
  </si>
  <si>
    <r>
      <t>X</t>
    </r>
    <r>
      <rPr>
        <vertAlign val="subscript"/>
        <sz val="14"/>
        <color theme="1"/>
        <rFont val="Calibri"/>
        <family val="2"/>
        <scheme val="minor"/>
      </rPr>
      <t>f</t>
    </r>
  </si>
  <si>
    <r>
      <t>Y</t>
    </r>
    <r>
      <rPr>
        <vertAlign val="subscript"/>
        <sz val="14"/>
        <color theme="1"/>
        <rFont val="Calibri"/>
        <family val="2"/>
        <scheme val="minor"/>
      </rPr>
      <t>f</t>
    </r>
  </si>
  <si>
    <r>
      <t>Z</t>
    </r>
    <r>
      <rPr>
        <vertAlign val="subscript"/>
        <sz val="14"/>
        <color theme="1"/>
        <rFont val="Calibri"/>
        <family val="2"/>
        <scheme val="minor"/>
      </rPr>
      <t>f</t>
    </r>
  </si>
  <si>
    <t>*note: select a method</t>
  </si>
  <si>
    <t xml:space="preserve"> -    -     -     -    -</t>
  </si>
  <si>
    <t>Part V Outputs:</t>
  </si>
  <si>
    <t>Tolerance Calculations:</t>
  </si>
  <si>
    <t>x '</t>
  </si>
  <si>
    <t>y '</t>
  </si>
  <si>
    <t>z '</t>
  </si>
  <si>
    <t>x ''</t>
  </si>
  <si>
    <t>y ''</t>
  </si>
  <si>
    <t>z ''</t>
  </si>
  <si>
    <t>Tool Length:</t>
  </si>
  <si>
    <t>Desired Tolerance:</t>
  </si>
  <si>
    <t>Specify your TVD:</t>
  </si>
  <si>
    <t>Curvature:</t>
  </si>
  <si>
    <t>Dogleg Severity:</t>
  </si>
  <si>
    <t>Azimuth Angle:</t>
  </si>
  <si>
    <t>Measured Depth:</t>
  </si>
  <si>
    <t>Radius of Curv:</t>
  </si>
  <si>
    <t>Horizontal Deptr:</t>
  </si>
  <si>
    <t>Input TVD    =</t>
  </si>
  <si>
    <t>ΔX</t>
  </si>
  <si>
    <t>ΔY</t>
  </si>
  <si>
    <t>ΔZ</t>
  </si>
  <si>
    <t>XX</t>
  </si>
  <si>
    <t>YY</t>
  </si>
  <si>
    <t>ZZ</t>
  </si>
  <si>
    <t>N55E</t>
  </si>
  <si>
    <t>X (ft)</t>
  </si>
  <si>
    <t>Y (ft)</t>
  </si>
  <si>
    <t>Z (ft)</t>
  </si>
  <si>
    <t>Azimuth (deg)</t>
  </si>
  <si>
    <t>ΔMD (ft)</t>
  </si>
  <si>
    <t>Static</t>
  </si>
  <si>
    <t>Tripping In</t>
  </si>
  <si>
    <t>Tripping Out</t>
  </si>
  <si>
    <t>Effective Weight (We)</t>
  </si>
  <si>
    <t>IncAngle (deg)</t>
  </si>
  <si>
    <t>Drill String ID</t>
  </si>
  <si>
    <t>Drill String OD</t>
  </si>
  <si>
    <t>dI / dS</t>
  </si>
  <si>
    <t>dA / dS</t>
  </si>
  <si>
    <t>K</t>
  </si>
  <si>
    <t>Buckling</t>
  </si>
  <si>
    <t>Drag and Torque Inputs:</t>
  </si>
  <si>
    <t>Additional Inputs:</t>
  </si>
  <si>
    <t>Previous Input Recalled:</t>
  </si>
  <si>
    <t>(used for Mercury calculation)</t>
  </si>
  <si>
    <t>Actual Range</t>
  </si>
  <si>
    <t>3D Drag and Torque Calculations:</t>
  </si>
  <si>
    <t>Weight on Bit (WOB)</t>
  </si>
  <si>
    <t>Rate of Penetration (ROP)</t>
  </si>
  <si>
    <t>Rig Max Hook Load (Fh)</t>
  </si>
  <si>
    <t>Hold Length</t>
  </si>
  <si>
    <t>N2W</t>
  </si>
  <si>
    <t>N0.5W</t>
  </si>
  <si>
    <r>
      <t>Friction Coefficient (</t>
    </r>
    <r>
      <rPr>
        <sz val="14"/>
        <color theme="1"/>
        <rFont val="Symbol"/>
        <family val="1"/>
        <charset val="2"/>
      </rPr>
      <t>m</t>
    </r>
    <r>
      <rPr>
        <sz val="14"/>
        <color theme="1"/>
        <rFont val="Calibri"/>
        <family val="2"/>
        <scheme val="minor"/>
      </rPr>
      <t>)</t>
    </r>
  </si>
  <si>
    <t>lbf</t>
  </si>
  <si>
    <t>N</t>
  </si>
  <si>
    <t>N/m</t>
  </si>
  <si>
    <t>lbf/ft</t>
  </si>
  <si>
    <t>---</t>
  </si>
  <si>
    <t>Run Master Code</t>
  </si>
  <si>
    <t>rpm</t>
  </si>
  <si>
    <t>rps</t>
  </si>
  <si>
    <t>PART 2: DRAG AND TORQUE MODEL</t>
  </si>
  <si>
    <t>F1 (lbf)</t>
  </si>
  <si>
    <t>F2 (Drag) (lbf)</t>
  </si>
  <si>
    <t>Torque (ft-lbs)</t>
  </si>
  <si>
    <t>TVD (ft)</t>
  </si>
  <si>
    <t>ΔTVD (ft)</t>
  </si>
  <si>
    <t>*note: Run Well Trajectory program first</t>
  </si>
  <si>
    <t>PART 3: WELL COMPLETIONS: CASING CHECK</t>
  </si>
  <si>
    <t>L80</t>
  </si>
  <si>
    <t>P110</t>
  </si>
  <si>
    <t>YES</t>
  </si>
  <si>
    <t>NO</t>
  </si>
  <si>
    <t>Misael Morales, 1468991</t>
  </si>
  <si>
    <t>Casing</t>
  </si>
  <si>
    <t>K55</t>
  </si>
  <si>
    <t>SF body</t>
  </si>
  <si>
    <t>SF joint</t>
  </si>
  <si>
    <t>SF collapse</t>
  </si>
  <si>
    <t>SF burst</t>
  </si>
  <si>
    <t>Unit Weight (lb/ft)</t>
  </si>
  <si>
    <t>N80 (1)</t>
  </si>
  <si>
    <t>N80 (2)</t>
  </si>
  <si>
    <t>N80 (3)</t>
  </si>
  <si>
    <t>J55 (1)</t>
  </si>
  <si>
    <t>J55 (2)</t>
  </si>
  <si>
    <t>OTHER</t>
  </si>
  <si>
    <t>Joint Strength (lbs)</t>
  </si>
  <si>
    <t>Yield Stress (psi)</t>
  </si>
  <si>
    <t>Collapse Pressure (psi)</t>
  </si>
  <si>
    <t>Burst Pressure (psi)</t>
  </si>
  <si>
    <t>Depth (ft)</t>
  </si>
  <si>
    <t>TVD1</t>
  </si>
  <si>
    <t>Casing Options:</t>
  </si>
  <si>
    <t>Burst and Collapse Lines:</t>
  </si>
  <si>
    <t>N0.2W</t>
  </si>
  <si>
    <t>Previous Inputs Recalled:</t>
  </si>
  <si>
    <t>TVD</t>
  </si>
  <si>
    <t>MD</t>
  </si>
  <si>
    <t>Total Drag Force</t>
  </si>
  <si>
    <t>Area (in^2)</t>
  </si>
  <si>
    <t>Mud Weight:</t>
  </si>
  <si>
    <t>ppg</t>
  </si>
  <si>
    <t>Safety Factors:</t>
  </si>
  <si>
    <t>MD Total</t>
  </si>
  <si>
    <t>Burst Pressure at Depth</t>
  </si>
  <si>
    <t>Collapse Pressure at Depth</t>
  </si>
  <si>
    <t>FINAL Burst</t>
  </si>
  <si>
    <t>FINAL Collapse</t>
  </si>
  <si>
    <t>Collapse Design:</t>
  </si>
  <si>
    <t>Burst Design:</t>
  </si>
  <si>
    <t>Dpb=</t>
  </si>
  <si>
    <t>Dpc=</t>
  </si>
  <si>
    <t>slope / (*Pc) / intercept</t>
  </si>
  <si>
    <t>slope / (*Pb) / intercept</t>
  </si>
  <si>
    <t>Tension Check</t>
  </si>
  <si>
    <t xml:space="preserve">Tension Forice </t>
  </si>
  <si>
    <t>Depth</t>
  </si>
  <si>
    <t>MAXIMUM</t>
  </si>
  <si>
    <t>Casing 1</t>
  </si>
  <si>
    <t>Casing 2</t>
  </si>
  <si>
    <t>Casing 3</t>
  </si>
  <si>
    <t>Casing 4</t>
  </si>
  <si>
    <t>Casing 5</t>
  </si>
  <si>
    <t>Casing 6</t>
  </si>
  <si>
    <t>Casing 7</t>
  </si>
  <si>
    <t>Casing 8</t>
  </si>
  <si>
    <t>Casing 9</t>
  </si>
  <si>
    <t>BODY CHECK</t>
  </si>
  <si>
    <t>JOINT CHECK</t>
  </si>
  <si>
    <t>Selected Casing Area</t>
  </si>
  <si>
    <t>Selected Casing Ym</t>
  </si>
  <si>
    <t>Selected Casing JointStrength</t>
  </si>
  <si>
    <t>Final Casing Selection</t>
  </si>
  <si>
    <t>Casing 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</si>
</sst>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0"/>
    <numFmt numFmtId="165" formatCode="0.0"/>
    <numFmt numFmtId="166" formatCode="0.0000"/>
    <numFmt numFmtId="167" formatCode="_(* #,##0_);_(* \(#,##0\);_(* &quot;-&quot;??_);_(@_)"/>
    <numFmt numFmtId="168" formatCode="#,##0.0"/>
    <numFmt numFmtId="169" formatCode="0.000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4"/>
      <color theme="1"/>
      <name val="Calibri"/>
      <family val="2"/>
    </font>
    <font>
      <sz val="10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4"/>
      <color rgb="FF000000"/>
      <name val="Calibri"/>
      <family val="2"/>
    </font>
    <font>
      <sz val="14"/>
      <color theme="1"/>
      <name val="Symbol"/>
      <family val="1"/>
      <charset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rgb="FFFECBC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481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249977111117893"/>
        <bgColor indexed="64"/>
      </patternFill>
    </fill>
  </fills>
  <borders count="81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double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 style="double">
        <color indexed="64"/>
      </bottom>
      <diagonal/>
    </border>
    <border>
      <left/>
      <right/>
      <top style="thick">
        <color auto="1"/>
      </top>
      <bottom style="double">
        <color indexed="64"/>
      </bottom>
      <diagonal/>
    </border>
    <border>
      <left/>
      <right style="medium">
        <color auto="1"/>
      </right>
      <top style="thick">
        <color auto="1"/>
      </top>
      <bottom style="double">
        <color indexed="64"/>
      </bottom>
      <diagonal/>
    </border>
    <border>
      <left style="medium">
        <color auto="1"/>
      </left>
      <right/>
      <top/>
      <bottom style="double">
        <color indexed="64"/>
      </bottom>
      <diagonal/>
    </border>
    <border>
      <left/>
      <right style="medium">
        <color auto="1"/>
      </right>
      <top/>
      <bottom style="double">
        <color indexed="64"/>
      </bottom>
      <diagonal/>
    </border>
    <border>
      <left style="medium">
        <color auto="1"/>
      </left>
      <right/>
      <top style="double">
        <color auto="1"/>
      </top>
      <bottom style="medium">
        <color auto="1"/>
      </bottom>
      <diagonal/>
    </border>
    <border>
      <left/>
      <right/>
      <top style="double">
        <color auto="1"/>
      </top>
      <bottom style="medium">
        <color auto="1"/>
      </bottom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DashDot">
        <color auto="1"/>
      </right>
      <top style="double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/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 style="thick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2" fillId="0" borderId="0" applyFont="0" applyFill="0" applyBorder="0" applyAlignment="0" applyProtection="0"/>
  </cellStyleXfs>
  <cellXfs count="312">
    <xf numFmtId="0" fontId="0" fillId="0" borderId="0" xfId="0"/>
    <xf numFmtId="3" fontId="0" fillId="0" borderId="0" xfId="0" applyNumberFormat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13" borderId="0" xfId="0" applyNumberFormat="1" applyFill="1" applyAlignment="1">
      <alignment horizontal="center"/>
    </xf>
    <xf numFmtId="0" fontId="0" fillId="13" borderId="0" xfId="0" applyFill="1" applyAlignment="1">
      <alignment horizontal="center"/>
    </xf>
    <xf numFmtId="3" fontId="0" fillId="13" borderId="0" xfId="0" applyNumberFormat="1" applyFill="1" applyAlignment="1">
      <alignment horizontal="center"/>
    </xf>
    <xf numFmtId="0" fontId="0" fillId="10" borderId="0" xfId="0" applyFill="1"/>
    <xf numFmtId="0" fontId="0" fillId="7" borderId="20" xfId="0" applyFill="1" applyBorder="1"/>
    <xf numFmtId="0" fontId="0" fillId="9" borderId="21" xfId="0" applyFill="1" applyBorder="1"/>
    <xf numFmtId="0" fontId="4" fillId="0" borderId="0" xfId="0" applyFont="1"/>
    <xf numFmtId="0" fontId="4" fillId="0" borderId="0" xfId="0" applyFont="1" applyBorder="1"/>
    <xf numFmtId="0" fontId="4" fillId="4" borderId="5" xfId="0" applyFont="1" applyFill="1" applyBorder="1"/>
    <xf numFmtId="0" fontId="4" fillId="4" borderId="7" xfId="0" applyFont="1" applyFill="1" applyBorder="1"/>
    <xf numFmtId="0" fontId="4" fillId="9" borderId="9" xfId="0" applyFont="1" applyFill="1" applyBorder="1"/>
    <xf numFmtId="0" fontId="4" fillId="9" borderId="7" xfId="0" applyFont="1" applyFill="1" applyBorder="1"/>
    <xf numFmtId="0" fontId="4" fillId="9" borderId="5" xfId="0" applyFont="1" applyFill="1" applyBorder="1"/>
    <xf numFmtId="0" fontId="4" fillId="14" borderId="8" xfId="0" applyFont="1" applyFill="1" applyBorder="1" applyAlignment="1">
      <alignment horizontal="center"/>
    </xf>
    <xf numFmtId="0" fontId="4" fillId="14" borderId="5" xfId="0" applyFont="1" applyFill="1" applyBorder="1" applyAlignment="1">
      <alignment horizontal="center"/>
    </xf>
    <xf numFmtId="0" fontId="4" fillId="14" borderId="9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/>
    <xf numFmtId="0" fontId="4" fillId="0" borderId="1" xfId="0" applyFont="1" applyBorder="1"/>
    <xf numFmtId="0" fontId="6" fillId="9" borderId="5" xfId="0" applyFont="1" applyFill="1" applyBorder="1"/>
    <xf numFmtId="0" fontId="4" fillId="7" borderId="5" xfId="0" applyFont="1" applyFill="1" applyBorder="1" applyAlignment="1">
      <alignment horizontal="center"/>
    </xf>
    <xf numFmtId="0" fontId="4" fillId="7" borderId="5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4" fontId="4" fillId="9" borderId="7" xfId="0" applyNumberFormat="1" applyFont="1" applyFill="1" applyBorder="1"/>
    <xf numFmtId="0" fontId="1" fillId="6" borderId="19" xfId="0" applyFont="1" applyFill="1" applyBorder="1" applyAlignment="1">
      <alignment horizontal="right"/>
    </xf>
    <xf numFmtId="0" fontId="1" fillId="8" borderId="20" xfId="0" applyFont="1" applyFill="1" applyBorder="1" applyAlignment="1">
      <alignment horizontal="right"/>
    </xf>
    <xf numFmtId="0" fontId="4" fillId="16" borderId="8" xfId="0" applyFont="1" applyFill="1" applyBorder="1" applyAlignment="1">
      <alignment horizontal="center"/>
    </xf>
    <xf numFmtId="0" fontId="4" fillId="16" borderId="5" xfId="0" applyFont="1" applyFill="1" applyBorder="1" applyAlignment="1">
      <alignment horizontal="center"/>
    </xf>
    <xf numFmtId="0" fontId="4" fillId="16" borderId="9" xfId="0" applyFont="1" applyFill="1" applyBorder="1" applyAlignment="1">
      <alignment horizontal="center"/>
    </xf>
    <xf numFmtId="0" fontId="4" fillId="16" borderId="10" xfId="0" applyFont="1" applyFill="1" applyBorder="1" applyAlignment="1">
      <alignment horizontal="center"/>
    </xf>
    <xf numFmtId="0" fontId="4" fillId="16" borderId="11" xfId="0" applyFont="1" applyFill="1" applyBorder="1" applyAlignment="1">
      <alignment horizontal="center"/>
    </xf>
    <xf numFmtId="0" fontId="4" fillId="16" borderId="12" xfId="0" applyFont="1" applyFill="1" applyBorder="1" applyAlignment="1">
      <alignment horizontal="center"/>
    </xf>
    <xf numFmtId="0" fontId="4" fillId="14" borderId="23" xfId="0" applyFont="1" applyFill="1" applyBorder="1" applyAlignment="1">
      <alignment horizontal="center"/>
    </xf>
    <xf numFmtId="0" fontId="4" fillId="14" borderId="24" xfId="0" applyFont="1" applyFill="1" applyBorder="1" applyAlignment="1">
      <alignment horizontal="center"/>
    </xf>
    <xf numFmtId="0" fontId="4" fillId="14" borderId="25" xfId="0" applyFont="1" applyFill="1" applyBorder="1" applyAlignment="1">
      <alignment horizontal="center"/>
    </xf>
    <xf numFmtId="0" fontId="4" fillId="9" borderId="25" xfId="0" applyFont="1" applyFill="1" applyBorder="1"/>
    <xf numFmtId="0" fontId="4" fillId="9" borderId="26" xfId="0" applyFont="1" applyFill="1" applyBorder="1"/>
    <xf numFmtId="0" fontId="4" fillId="9" borderId="24" xfId="0" applyFont="1" applyFill="1" applyBorder="1"/>
    <xf numFmtId="0" fontId="4" fillId="12" borderId="24" xfId="0" applyFont="1" applyFill="1" applyBorder="1" applyAlignment="1">
      <alignment horizontal="center"/>
    </xf>
    <xf numFmtId="0" fontId="4" fillId="12" borderId="24" xfId="0" applyFont="1" applyFill="1" applyBorder="1"/>
    <xf numFmtId="0" fontId="4" fillId="2" borderId="24" xfId="0" applyFont="1" applyFill="1" applyBorder="1" applyAlignment="1">
      <alignment horizontal="center"/>
    </xf>
    <xf numFmtId="0" fontId="4" fillId="2" borderId="24" xfId="0" applyFont="1" applyFill="1" applyBorder="1"/>
    <xf numFmtId="0" fontId="4" fillId="7" borderId="24" xfId="0" applyFont="1" applyFill="1" applyBorder="1" applyAlignment="1">
      <alignment horizontal="center"/>
    </xf>
    <xf numFmtId="0" fontId="4" fillId="7" borderId="24" xfId="0" applyFont="1" applyFill="1" applyBorder="1"/>
    <xf numFmtId="0" fontId="4" fillId="7" borderId="30" xfId="0" applyFont="1" applyFill="1" applyBorder="1"/>
    <xf numFmtId="0" fontId="4" fillId="4" borderId="24" xfId="0" applyFont="1" applyFill="1" applyBorder="1"/>
    <xf numFmtId="0" fontId="4" fillId="4" borderId="26" xfId="0" applyFont="1" applyFill="1" applyBorder="1"/>
    <xf numFmtId="0" fontId="4" fillId="16" borderId="5" xfId="0" applyFont="1" applyFill="1" applyBorder="1" applyAlignment="1">
      <alignment horizontal="right"/>
    </xf>
    <xf numFmtId="0" fontId="4" fillId="16" borderId="9" xfId="0" applyFont="1" applyFill="1" applyBorder="1" applyAlignment="1">
      <alignment horizontal="left"/>
    </xf>
    <xf numFmtId="0" fontId="4" fillId="18" borderId="25" xfId="0" applyFont="1" applyFill="1" applyBorder="1" applyAlignment="1">
      <alignment horizontal="left"/>
    </xf>
    <xf numFmtId="0" fontId="4" fillId="18" borderId="9" xfId="0" applyFont="1" applyFill="1" applyBorder="1" applyAlignment="1">
      <alignment horizontal="left"/>
    </xf>
    <xf numFmtId="0" fontId="4" fillId="18" borderId="12" xfId="0" applyFont="1" applyFill="1" applyBorder="1" applyAlignment="1">
      <alignment horizontal="left"/>
    </xf>
    <xf numFmtId="0" fontId="4" fillId="16" borderId="40" xfId="0" applyFont="1" applyFill="1" applyBorder="1" applyAlignment="1">
      <alignment horizontal="right"/>
    </xf>
    <xf numFmtId="0" fontId="4" fillId="18" borderId="38" xfId="0" applyFont="1" applyFill="1" applyBorder="1" applyAlignment="1">
      <alignment horizontal="left"/>
    </xf>
    <xf numFmtId="0" fontId="4" fillId="18" borderId="23" xfId="0" applyFont="1" applyFill="1" applyBorder="1" applyAlignment="1">
      <alignment horizontal="center"/>
    </xf>
    <xf numFmtId="0" fontId="4" fillId="18" borderId="8" xfId="0" applyFont="1" applyFill="1" applyBorder="1" applyAlignment="1">
      <alignment horizontal="center"/>
    </xf>
    <xf numFmtId="0" fontId="4" fillId="18" borderId="10" xfId="0" applyFont="1" applyFill="1" applyBorder="1" applyAlignment="1">
      <alignment horizontal="center"/>
    </xf>
    <xf numFmtId="0" fontId="4" fillId="7" borderId="48" xfId="0" applyFont="1" applyFill="1" applyBorder="1" applyAlignment="1">
      <alignment horizontal="center"/>
    </xf>
    <xf numFmtId="0" fontId="4" fillId="7" borderId="48" xfId="0" applyFont="1" applyFill="1" applyBorder="1"/>
    <xf numFmtId="0" fontId="4" fillId="7" borderId="49" xfId="0" applyFont="1" applyFill="1" applyBorder="1"/>
    <xf numFmtId="0" fontId="6" fillId="0" borderId="0" xfId="0" applyFont="1"/>
    <xf numFmtId="0" fontId="6" fillId="14" borderId="13" xfId="0" applyFont="1" applyFill="1" applyBorder="1" applyAlignment="1">
      <alignment horizontal="center"/>
    </xf>
    <xf numFmtId="0" fontId="6" fillId="14" borderId="14" xfId="0" applyFont="1" applyFill="1" applyBorder="1" applyAlignment="1">
      <alignment horizontal="center"/>
    </xf>
    <xf numFmtId="0" fontId="6" fillId="14" borderId="15" xfId="0" applyFont="1" applyFill="1" applyBorder="1" applyAlignment="1">
      <alignment horizontal="center"/>
    </xf>
    <xf numFmtId="2" fontId="6" fillId="16" borderId="8" xfId="0" applyNumberFormat="1" applyFont="1" applyFill="1" applyBorder="1" applyAlignment="1">
      <alignment horizontal="center"/>
    </xf>
    <xf numFmtId="2" fontId="4" fillId="16" borderId="5" xfId="0" applyNumberFormat="1" applyFont="1" applyFill="1" applyBorder="1" applyAlignment="1">
      <alignment horizontal="center"/>
    </xf>
    <xf numFmtId="2" fontId="4" fillId="16" borderId="9" xfId="0" applyNumberFormat="1" applyFont="1" applyFill="1" applyBorder="1" applyAlignment="1">
      <alignment horizontal="center"/>
    </xf>
    <xf numFmtId="0" fontId="6" fillId="14" borderId="8" xfId="0" applyFont="1" applyFill="1" applyBorder="1" applyAlignment="1">
      <alignment horizontal="center"/>
    </xf>
    <xf numFmtId="0" fontId="6" fillId="14" borderId="5" xfId="0" applyFont="1" applyFill="1" applyBorder="1" applyAlignment="1">
      <alignment horizontal="center"/>
    </xf>
    <xf numFmtId="0" fontId="6" fillId="14" borderId="9" xfId="0" applyFont="1" applyFill="1" applyBorder="1" applyAlignment="1">
      <alignment horizontal="center"/>
    </xf>
    <xf numFmtId="2" fontId="4" fillId="16" borderId="10" xfId="0" applyNumberFormat="1" applyFont="1" applyFill="1" applyBorder="1" applyAlignment="1">
      <alignment horizontal="center"/>
    </xf>
    <xf numFmtId="2" fontId="4" fillId="16" borderId="11" xfId="0" applyNumberFormat="1" applyFont="1" applyFill="1" applyBorder="1" applyAlignment="1">
      <alignment horizontal="center"/>
    </xf>
    <xf numFmtId="2" fontId="4" fillId="16" borderId="12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quotePrefix="1" applyFont="1"/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23" borderId="23" xfId="0" applyFont="1" applyFill="1" applyBorder="1" applyAlignment="1">
      <alignment vertical="center"/>
    </xf>
    <xf numFmtId="0" fontId="4" fillId="23" borderId="8" xfId="0" applyFont="1" applyFill="1" applyBorder="1" applyAlignment="1">
      <alignment vertical="center"/>
    </xf>
    <xf numFmtId="0" fontId="4" fillId="23" borderId="10" xfId="0" applyFont="1" applyFill="1" applyBorder="1" applyAlignment="1">
      <alignment vertical="center"/>
    </xf>
    <xf numFmtId="0" fontId="4" fillId="21" borderId="23" xfId="0" applyFont="1" applyFill="1" applyBorder="1" applyAlignment="1">
      <alignment vertical="center"/>
    </xf>
    <xf numFmtId="0" fontId="4" fillId="21" borderId="25" xfId="0" applyFont="1" applyFill="1" applyBorder="1" applyAlignment="1">
      <alignment vertical="center"/>
    </xf>
    <xf numFmtId="0" fontId="4" fillId="21" borderId="10" xfId="0" applyFont="1" applyFill="1" applyBorder="1" applyAlignment="1">
      <alignment vertical="center"/>
    </xf>
    <xf numFmtId="0" fontId="4" fillId="21" borderId="12" xfId="0" applyFont="1" applyFill="1" applyBorder="1" applyAlignment="1">
      <alignment vertical="center"/>
    </xf>
    <xf numFmtId="0" fontId="4" fillId="24" borderId="8" xfId="0" applyFont="1" applyFill="1" applyBorder="1" applyAlignment="1">
      <alignment vertical="center"/>
    </xf>
    <xf numFmtId="0" fontId="4" fillId="24" borderId="5" xfId="0" applyFont="1" applyFill="1" applyBorder="1" applyAlignment="1">
      <alignment vertical="center"/>
    </xf>
    <xf numFmtId="0" fontId="4" fillId="24" borderId="9" xfId="0" quotePrefix="1" applyFont="1" applyFill="1" applyBorder="1" applyAlignment="1">
      <alignment horizontal="center" vertical="center"/>
    </xf>
    <xf numFmtId="167" fontId="4" fillId="24" borderId="5" xfId="1" applyNumberFormat="1" applyFont="1" applyFill="1" applyBorder="1" applyAlignment="1">
      <alignment vertical="center"/>
    </xf>
    <xf numFmtId="0" fontId="4" fillId="24" borderId="9" xfId="0" applyFont="1" applyFill="1" applyBorder="1" applyAlignment="1">
      <alignment vertical="center"/>
    </xf>
    <xf numFmtId="0" fontId="4" fillId="24" borderId="8" xfId="0" quotePrefix="1" applyFont="1" applyFill="1" applyBorder="1" applyAlignment="1">
      <alignment vertical="center"/>
    </xf>
    <xf numFmtId="0" fontId="4" fillId="24" borderId="10" xfId="0" applyFont="1" applyFill="1" applyBorder="1" applyAlignment="1">
      <alignment vertical="center"/>
    </xf>
    <xf numFmtId="167" fontId="4" fillId="24" borderId="11" xfId="1" applyNumberFormat="1" applyFont="1" applyFill="1" applyBorder="1" applyAlignment="1">
      <alignment vertical="center"/>
    </xf>
    <xf numFmtId="0" fontId="4" fillId="23" borderId="24" xfId="0" applyFont="1" applyFill="1" applyBorder="1" applyAlignment="1">
      <alignment vertical="center"/>
    </xf>
    <xf numFmtId="0" fontId="4" fillId="23" borderId="5" xfId="0" applyFont="1" applyFill="1" applyBorder="1" applyAlignment="1">
      <alignment vertical="center"/>
    </xf>
    <xf numFmtId="0" fontId="4" fillId="23" borderId="9" xfId="0" applyFont="1" applyFill="1" applyBorder="1" applyAlignment="1">
      <alignment vertical="center"/>
    </xf>
    <xf numFmtId="0" fontId="4" fillId="23" borderId="11" xfId="0" applyFont="1" applyFill="1" applyBorder="1" applyAlignment="1">
      <alignment vertical="center"/>
    </xf>
    <xf numFmtId="0" fontId="4" fillId="23" borderId="12" xfId="0" applyFont="1" applyFill="1" applyBorder="1" applyAlignment="1">
      <alignment vertical="center"/>
    </xf>
    <xf numFmtId="0" fontId="4" fillId="24" borderId="12" xfId="0" applyFont="1" applyFill="1" applyBorder="1" applyAlignment="1">
      <alignment vertical="center"/>
    </xf>
    <xf numFmtId="166" fontId="4" fillId="16" borderId="24" xfId="0" applyNumberFormat="1" applyFont="1" applyFill="1" applyBorder="1" applyAlignment="1">
      <alignment horizontal="right"/>
    </xf>
    <xf numFmtId="166" fontId="4" fillId="16" borderId="5" xfId="0" applyNumberFormat="1" applyFont="1" applyFill="1" applyBorder="1" applyAlignment="1">
      <alignment horizontal="right"/>
    </xf>
    <xf numFmtId="164" fontId="4" fillId="16" borderId="24" xfId="0" applyNumberFormat="1" applyFont="1" applyFill="1" applyBorder="1" applyAlignment="1">
      <alignment horizontal="right"/>
    </xf>
    <xf numFmtId="164" fontId="4" fillId="16" borderId="5" xfId="0" applyNumberFormat="1" applyFont="1" applyFill="1" applyBorder="1" applyAlignment="1">
      <alignment horizontal="right"/>
    </xf>
    <xf numFmtId="164" fontId="4" fillId="16" borderId="11" xfId="0" applyNumberFormat="1" applyFont="1" applyFill="1" applyBorder="1" applyAlignment="1">
      <alignment horizontal="right"/>
    </xf>
    <xf numFmtId="43" fontId="4" fillId="21" borderId="11" xfId="1" applyNumberFormat="1" applyFont="1" applyFill="1" applyBorder="1" applyAlignment="1">
      <alignment vertical="center"/>
    </xf>
    <xf numFmtId="165" fontId="4" fillId="21" borderId="24" xfId="0" applyNumberFormat="1" applyFont="1" applyFill="1" applyBorder="1" applyAlignment="1">
      <alignment vertical="center"/>
    </xf>
    <xf numFmtId="0" fontId="4" fillId="23" borderId="25" xfId="0" quotePrefix="1" applyFont="1" applyFill="1" applyBorder="1" applyAlignment="1">
      <alignment horizontal="left" vertical="center"/>
    </xf>
    <xf numFmtId="0" fontId="4" fillId="0" borderId="58" xfId="0" applyFont="1" applyBorder="1"/>
    <xf numFmtId="0" fontId="0" fillId="0" borderId="58" xfId="0" applyBorder="1"/>
    <xf numFmtId="0" fontId="4" fillId="0" borderId="0" xfId="0" applyFont="1" applyAlignment="1">
      <alignment horizontal="center"/>
    </xf>
    <xf numFmtId="0" fontId="4" fillId="9" borderId="8" xfId="0" applyFont="1" applyFill="1" applyBorder="1" applyAlignment="1">
      <alignment horizontal="center"/>
    </xf>
    <xf numFmtId="0" fontId="3" fillId="9" borderId="23" xfId="0" applyFont="1" applyFill="1" applyBorder="1" applyAlignment="1">
      <alignment horizontal="center"/>
    </xf>
    <xf numFmtId="0" fontId="3" fillId="9" borderId="24" xfId="0" applyFont="1" applyFill="1" applyBorder="1" applyAlignment="1">
      <alignment horizontal="center"/>
    </xf>
    <xf numFmtId="0" fontId="4" fillId="9" borderId="60" xfId="0" applyFont="1" applyFill="1" applyBorder="1" applyAlignment="1">
      <alignment horizontal="center"/>
    </xf>
    <xf numFmtId="3" fontId="4" fillId="9" borderId="5" xfId="0" applyNumberFormat="1" applyFont="1" applyFill="1" applyBorder="1" applyAlignment="1">
      <alignment horizontal="center"/>
    </xf>
    <xf numFmtId="3" fontId="4" fillId="9" borderId="48" xfId="0" applyNumberFormat="1" applyFont="1" applyFill="1" applyBorder="1" applyAlignment="1">
      <alignment horizontal="center"/>
    </xf>
    <xf numFmtId="168" fontId="4" fillId="9" borderId="5" xfId="0" applyNumberFormat="1" applyFont="1" applyFill="1" applyBorder="1" applyAlignment="1">
      <alignment horizontal="center"/>
    </xf>
    <xf numFmtId="168" fontId="4" fillId="9" borderId="48" xfId="0" applyNumberFormat="1" applyFont="1" applyFill="1" applyBorder="1" applyAlignment="1">
      <alignment horizontal="center"/>
    </xf>
    <xf numFmtId="0" fontId="0" fillId="0" borderId="0" xfId="0" applyFont="1"/>
    <xf numFmtId="0" fontId="3" fillId="9" borderId="25" xfId="0" applyFont="1" applyFill="1" applyBorder="1" applyAlignment="1">
      <alignment horizontal="center"/>
    </xf>
    <xf numFmtId="0" fontId="4" fillId="7" borderId="8" xfId="0" applyFont="1" applyFill="1" applyBorder="1" applyAlignment="1">
      <alignment horizontal="center" vertical="center"/>
    </xf>
    <xf numFmtId="2" fontId="4" fillId="7" borderId="9" xfId="0" applyNumberFormat="1" applyFont="1" applyFill="1" applyBorder="1" applyAlignment="1">
      <alignment horizontal="center" vertical="center"/>
    </xf>
    <xf numFmtId="2" fontId="4" fillId="7" borderId="9" xfId="1" applyNumberFormat="1" applyFont="1" applyFill="1" applyBorder="1" applyAlignment="1">
      <alignment horizontal="center" vertical="center"/>
    </xf>
    <xf numFmtId="0" fontId="4" fillId="7" borderId="8" xfId="0" quotePrefix="1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2" fontId="4" fillId="7" borderId="12" xfId="1" applyNumberFormat="1" applyFont="1" applyFill="1" applyBorder="1" applyAlignment="1">
      <alignment horizontal="center" vertical="center"/>
    </xf>
    <xf numFmtId="0" fontId="4" fillId="2" borderId="62" xfId="0" applyFont="1" applyFill="1" applyBorder="1" applyAlignment="1">
      <alignment horizontal="center" vertical="center"/>
    </xf>
    <xf numFmtId="1" fontId="4" fillId="2" borderId="63" xfId="0" applyNumberFormat="1" applyFont="1" applyFill="1" applyBorder="1" applyAlignment="1">
      <alignment horizontal="center" vertical="center"/>
    </xf>
    <xf numFmtId="1" fontId="4" fillId="2" borderId="64" xfId="0" applyNumberFormat="1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165" fontId="3" fillId="2" borderId="14" xfId="0" applyNumberFormat="1" applyFont="1" applyFill="1" applyBorder="1" applyAlignment="1">
      <alignment vertical="center"/>
    </xf>
    <xf numFmtId="165" fontId="3" fillId="2" borderId="15" xfId="0" applyNumberFormat="1" applyFont="1" applyFill="1" applyBorder="1" applyAlignment="1">
      <alignment vertical="center"/>
    </xf>
    <xf numFmtId="0" fontId="4" fillId="2" borderId="60" xfId="0" applyFont="1" applyFill="1" applyBorder="1" applyAlignment="1">
      <alignment horizontal="center" vertical="center"/>
    </xf>
    <xf numFmtId="1" fontId="4" fillId="2" borderId="48" xfId="1" applyNumberFormat="1" applyFont="1" applyFill="1" applyBorder="1" applyAlignment="1">
      <alignment horizontal="center" vertical="center"/>
    </xf>
    <xf numFmtId="1" fontId="4" fillId="2" borderId="61" xfId="1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right"/>
    </xf>
    <xf numFmtId="0" fontId="4" fillId="2" borderId="41" xfId="0" applyFont="1" applyFill="1" applyBorder="1" applyAlignment="1">
      <alignment horizontal="right"/>
    </xf>
    <xf numFmtId="0" fontId="4" fillId="2" borderId="43" xfId="0" applyFont="1" applyFill="1" applyBorder="1" applyAlignment="1">
      <alignment horizontal="left"/>
    </xf>
    <xf numFmtId="0" fontId="4" fillId="23" borderId="23" xfId="0" applyFont="1" applyFill="1" applyBorder="1" applyAlignment="1">
      <alignment horizontal="center" vertical="center"/>
    </xf>
    <xf numFmtId="0" fontId="4" fillId="23" borderId="24" xfId="0" applyFont="1" applyFill="1" applyBorder="1" applyAlignment="1">
      <alignment horizontal="center" vertical="center"/>
    </xf>
    <xf numFmtId="0" fontId="4" fillId="23" borderId="25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23" borderId="9" xfId="0" applyFont="1" applyFill="1" applyBorder="1" applyAlignment="1">
      <alignment horizontal="center" vertical="center"/>
    </xf>
    <xf numFmtId="0" fontId="4" fillId="23" borderId="10" xfId="0" applyFont="1" applyFill="1" applyBorder="1" applyAlignment="1">
      <alignment horizontal="center" vertical="center"/>
    </xf>
    <xf numFmtId="0" fontId="4" fillId="23" borderId="11" xfId="0" applyFont="1" applyFill="1" applyBorder="1" applyAlignment="1">
      <alignment horizontal="center" vertical="center"/>
    </xf>
    <xf numFmtId="0" fontId="4" fillId="23" borderId="12" xfId="0" applyFont="1" applyFill="1" applyBorder="1" applyAlignment="1">
      <alignment horizontal="center" vertical="center"/>
    </xf>
    <xf numFmtId="164" fontId="4" fillId="23" borderId="5" xfId="0" applyNumberFormat="1" applyFont="1" applyFill="1" applyBorder="1" applyAlignment="1">
      <alignment horizontal="center" vertical="center"/>
    </xf>
    <xf numFmtId="169" fontId="4" fillId="9" borderId="9" xfId="0" applyNumberFormat="1" applyFont="1" applyFill="1" applyBorder="1" applyAlignment="1">
      <alignment horizontal="center"/>
    </xf>
    <xf numFmtId="169" fontId="4" fillId="9" borderId="61" xfId="0" applyNumberFormat="1" applyFont="1" applyFill="1" applyBorder="1" applyAlignment="1">
      <alignment horizontal="center"/>
    </xf>
    <xf numFmtId="0" fontId="8" fillId="9" borderId="65" xfId="0" applyFont="1" applyFill="1" applyBorder="1" applyAlignment="1">
      <alignment horizontal="center"/>
    </xf>
    <xf numFmtId="168" fontId="8" fillId="9" borderId="66" xfId="0" applyNumberFormat="1" applyFont="1" applyFill="1" applyBorder="1" applyAlignment="1">
      <alignment horizontal="center"/>
    </xf>
    <xf numFmtId="3" fontId="8" fillId="9" borderId="66" xfId="0" applyNumberFormat="1" applyFont="1" applyFill="1" applyBorder="1" applyAlignment="1">
      <alignment horizontal="center"/>
    </xf>
    <xf numFmtId="169" fontId="8" fillId="9" borderId="67" xfId="0" applyNumberFormat="1" applyFont="1" applyFill="1" applyBorder="1" applyAlignment="1">
      <alignment horizontal="center"/>
    </xf>
    <xf numFmtId="165" fontId="4" fillId="16" borderId="10" xfId="0" applyNumberFormat="1" applyFont="1" applyFill="1" applyBorder="1" applyAlignment="1">
      <alignment horizontal="center" vertical="center"/>
    </xf>
    <xf numFmtId="2" fontId="4" fillId="16" borderId="12" xfId="0" applyNumberFormat="1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/>
    </xf>
    <xf numFmtId="0" fontId="4" fillId="23" borderId="9" xfId="0" applyFont="1" applyFill="1" applyBorder="1" applyAlignment="1">
      <alignment horizontal="center"/>
    </xf>
    <xf numFmtId="0" fontId="4" fillId="23" borderId="5" xfId="0" applyFont="1" applyFill="1" applyBorder="1" applyAlignment="1">
      <alignment horizontal="center"/>
    </xf>
    <xf numFmtId="168" fontId="4" fillId="0" borderId="0" xfId="0" applyNumberFormat="1" applyFont="1" applyAlignment="1">
      <alignment horizontal="center"/>
    </xf>
    <xf numFmtId="168" fontId="4" fillId="0" borderId="0" xfId="0" applyNumberFormat="1" applyFont="1"/>
    <xf numFmtId="0" fontId="4" fillId="2" borderId="68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4" fillId="0" borderId="69" xfId="0" applyFont="1" applyBorder="1" applyAlignment="1">
      <alignment horizontal="center"/>
    </xf>
    <xf numFmtId="0" fontId="4" fillId="2" borderId="71" xfId="0" applyFont="1" applyFill="1" applyBorder="1"/>
    <xf numFmtId="0" fontId="4" fillId="2" borderId="7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0" fontId="14" fillId="0" borderId="72" xfId="0" applyFont="1" applyBorder="1" applyAlignment="1">
      <alignment horizontal="center"/>
    </xf>
    <xf numFmtId="0" fontId="14" fillId="0" borderId="22" xfId="0" applyFont="1" applyBorder="1" applyAlignment="1">
      <alignment horizontal="center"/>
    </xf>
    <xf numFmtId="0" fontId="3" fillId="0" borderId="69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4" fillId="0" borderId="73" xfId="0" applyFont="1" applyBorder="1" applyAlignment="1">
      <alignment horizontal="center"/>
    </xf>
    <xf numFmtId="0" fontId="3" fillId="0" borderId="74" xfId="0" applyFont="1" applyBorder="1" applyAlignment="1">
      <alignment horizontal="center"/>
    </xf>
    <xf numFmtId="0" fontId="3" fillId="0" borderId="75" xfId="0" applyFont="1" applyBorder="1" applyAlignment="1">
      <alignment horizontal="center"/>
    </xf>
    <xf numFmtId="0" fontId="4" fillId="0" borderId="77" xfId="0" applyFont="1" applyBorder="1"/>
    <xf numFmtId="0" fontId="4" fillId="0" borderId="76" xfId="0" applyFont="1" applyBorder="1"/>
    <xf numFmtId="0" fontId="0" fillId="0" borderId="0" xfId="0" applyAlignment="1">
      <alignment horizontal="center"/>
    </xf>
    <xf numFmtId="0" fontId="4" fillId="0" borderId="0" xfId="0" quotePrefix="1" applyFont="1" applyAlignment="1">
      <alignment horizontal="center"/>
    </xf>
    <xf numFmtId="2" fontId="0" fillId="0" borderId="0" xfId="0" applyNumberFormat="1" applyAlignment="1">
      <alignment horizontal="center"/>
    </xf>
    <xf numFmtId="168" fontId="4" fillId="0" borderId="58" xfId="0" applyNumberFormat="1" applyFont="1" applyBorder="1" applyAlignment="1">
      <alignment horizontal="center"/>
    </xf>
    <xf numFmtId="0" fontId="3" fillId="0" borderId="72" xfId="0" applyFont="1" applyBorder="1" applyAlignment="1">
      <alignment horizontal="center"/>
    </xf>
    <xf numFmtId="0" fontId="0" fillId="0" borderId="0" xfId="0" quotePrefix="1" applyAlignment="1">
      <alignment horizontal="center"/>
    </xf>
    <xf numFmtId="169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3" fillId="0" borderId="78" xfId="0" applyFont="1" applyBorder="1"/>
    <xf numFmtId="0" fontId="14" fillId="0" borderId="3" xfId="0" applyFont="1" applyBorder="1" applyAlignment="1">
      <alignment horizontal="center"/>
    </xf>
    <xf numFmtId="0" fontId="3" fillId="0" borderId="72" xfId="0" applyFont="1" applyFill="1" applyBorder="1" applyAlignment="1">
      <alignment horizontal="center"/>
    </xf>
    <xf numFmtId="0" fontId="4" fillId="0" borderId="72" xfId="0" applyFont="1" applyFill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80" xfId="0" applyFont="1" applyBorder="1" applyAlignment="1">
      <alignment horizontal="center"/>
    </xf>
    <xf numFmtId="0" fontId="3" fillId="0" borderId="79" xfId="0" applyFont="1" applyBorder="1" applyAlignment="1">
      <alignment horizontal="center"/>
    </xf>
    <xf numFmtId="0" fontId="15" fillId="0" borderId="52" xfId="0" applyFont="1" applyBorder="1" applyAlignment="1">
      <alignment horizontal="center" vertical="center" wrapText="1"/>
    </xf>
    <xf numFmtId="0" fontId="15" fillId="0" borderId="53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15" fillId="0" borderId="56" xfId="0" applyFont="1" applyBorder="1" applyAlignment="1">
      <alignment horizontal="center" vertical="center" wrapText="1"/>
    </xf>
    <xf numFmtId="0" fontId="15" fillId="0" borderId="57" xfId="0" applyFont="1" applyBorder="1" applyAlignment="1">
      <alignment horizontal="center" vertical="center" wrapText="1"/>
    </xf>
    <xf numFmtId="0" fontId="3" fillId="27" borderId="2" xfId="0" applyFont="1" applyFill="1" applyBorder="1" applyAlignment="1">
      <alignment horizontal="center" vertical="center"/>
    </xf>
    <xf numFmtId="0" fontId="3" fillId="27" borderId="4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6" borderId="3" xfId="0" applyFont="1" applyFill="1" applyBorder="1" applyAlignment="1">
      <alignment horizontal="center" vertical="center"/>
    </xf>
    <xf numFmtId="0" fontId="3" fillId="26" borderId="4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/>
    </xf>
    <xf numFmtId="0" fontId="3" fillId="8" borderId="3" xfId="0" applyFont="1" applyFill="1" applyBorder="1" applyAlignment="1">
      <alignment horizontal="center"/>
    </xf>
    <xf numFmtId="0" fontId="3" fillId="8" borderId="4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52" xfId="0" applyFont="1" applyBorder="1" applyAlignment="1">
      <alignment horizontal="center" vertical="center" wrapText="1"/>
    </xf>
    <xf numFmtId="0" fontId="3" fillId="0" borderId="53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5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4" fillId="18" borderId="41" xfId="0" applyFont="1" applyFill="1" applyBorder="1" applyAlignment="1">
      <alignment horizontal="center"/>
    </xf>
    <xf numFmtId="0" fontId="4" fillId="18" borderId="42" xfId="0" applyFont="1" applyFill="1" applyBorder="1" applyAlignment="1">
      <alignment horizontal="center"/>
    </xf>
    <xf numFmtId="0" fontId="4" fillId="18" borderId="43" xfId="0" applyFont="1" applyFill="1" applyBorder="1" applyAlignment="1">
      <alignment horizontal="center"/>
    </xf>
    <xf numFmtId="0" fontId="4" fillId="18" borderId="44" xfId="0" applyFont="1" applyFill="1" applyBorder="1" applyAlignment="1">
      <alignment horizontal="center"/>
    </xf>
    <xf numFmtId="0" fontId="4" fillId="18" borderId="45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8" xfId="0" applyFont="1" applyFill="1" applyBorder="1" applyAlignment="1">
      <alignment horizontal="center"/>
    </xf>
    <xf numFmtId="0" fontId="4" fillId="18" borderId="5" xfId="0" applyFont="1" applyFill="1" applyBorder="1" applyAlignment="1">
      <alignment horizontal="center"/>
    </xf>
    <xf numFmtId="0" fontId="4" fillId="18" borderId="7" xfId="0" applyFont="1" applyFill="1" applyBorder="1" applyAlignment="1">
      <alignment horizontal="center"/>
    </xf>
    <xf numFmtId="0" fontId="4" fillId="0" borderId="50" xfId="0" applyFont="1" applyBorder="1" applyAlignment="1">
      <alignment horizontal="center"/>
    </xf>
    <xf numFmtId="0" fontId="4" fillId="0" borderId="42" xfId="0" applyFont="1" applyBorder="1" applyAlignment="1">
      <alignment horizontal="center"/>
    </xf>
    <xf numFmtId="0" fontId="4" fillId="0" borderId="51" xfId="0" applyFont="1" applyBorder="1" applyAlignment="1">
      <alignment horizontal="center"/>
    </xf>
    <xf numFmtId="0" fontId="4" fillId="26" borderId="2" xfId="0" applyFont="1" applyFill="1" applyBorder="1" applyAlignment="1">
      <alignment horizontal="center" vertical="center"/>
    </xf>
    <xf numFmtId="0" fontId="4" fillId="26" borderId="3" xfId="0" applyFont="1" applyFill="1" applyBorder="1" applyAlignment="1">
      <alignment horizontal="center" vertical="center"/>
    </xf>
    <xf numFmtId="0" fontId="4" fillId="26" borderId="4" xfId="0" applyFont="1" applyFill="1" applyBorder="1" applyAlignment="1">
      <alignment horizontal="center" vertical="center"/>
    </xf>
    <xf numFmtId="0" fontId="4" fillId="22" borderId="2" xfId="0" applyFont="1" applyFill="1" applyBorder="1" applyAlignment="1">
      <alignment horizontal="center" vertical="center"/>
    </xf>
    <xf numFmtId="0" fontId="4" fillId="22" borderId="3" xfId="0" applyFont="1" applyFill="1" applyBorder="1" applyAlignment="1">
      <alignment horizontal="center" vertical="center"/>
    </xf>
    <xf numFmtId="0" fontId="4" fillId="22" borderId="4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/>
    </xf>
    <xf numFmtId="0" fontId="3" fillId="0" borderId="45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4" fillId="18" borderId="23" xfId="0" applyFont="1" applyFill="1" applyBorder="1" applyAlignment="1">
      <alignment horizontal="center"/>
    </xf>
    <xf numFmtId="0" fontId="4" fillId="18" borderId="24" xfId="0" applyFont="1" applyFill="1" applyBorder="1" applyAlignment="1">
      <alignment horizontal="center"/>
    </xf>
    <xf numFmtId="0" fontId="3" fillId="19" borderId="2" xfId="0" applyFont="1" applyFill="1" applyBorder="1" applyAlignment="1">
      <alignment horizontal="center"/>
    </xf>
    <xf numFmtId="0" fontId="3" fillId="19" borderId="3" xfId="0" applyFont="1" applyFill="1" applyBorder="1" applyAlignment="1">
      <alignment horizontal="center"/>
    </xf>
    <xf numFmtId="0" fontId="3" fillId="19" borderId="4" xfId="0" applyFont="1" applyFill="1" applyBorder="1" applyAlignment="1">
      <alignment horizontal="center"/>
    </xf>
    <xf numFmtId="0" fontId="4" fillId="18" borderId="37" xfId="0" applyFont="1" applyFill="1" applyBorder="1" applyAlignment="1">
      <alignment horizontal="center"/>
    </xf>
    <xf numFmtId="0" fontId="4" fillId="18" borderId="39" xfId="0" applyFont="1" applyFill="1" applyBorder="1" applyAlignment="1">
      <alignment horizontal="center"/>
    </xf>
    <xf numFmtId="0" fontId="8" fillId="18" borderId="36" xfId="0" applyFont="1" applyFill="1" applyBorder="1" applyAlignment="1">
      <alignment horizontal="center"/>
    </xf>
    <xf numFmtId="0" fontId="8" fillId="18" borderId="37" xfId="0" applyFont="1" applyFill="1" applyBorder="1" applyAlignment="1">
      <alignment horizontal="center"/>
    </xf>
    <xf numFmtId="0" fontId="8" fillId="18" borderId="47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25" borderId="2" xfId="0" applyFont="1" applyFill="1" applyBorder="1" applyAlignment="1">
      <alignment horizontal="center" vertical="center"/>
    </xf>
    <xf numFmtId="0" fontId="4" fillId="25" borderId="3" xfId="0" applyFont="1" applyFill="1" applyBorder="1" applyAlignment="1">
      <alignment horizontal="center" vertical="center"/>
    </xf>
    <xf numFmtId="0" fontId="4" fillId="25" borderId="4" xfId="0" applyFont="1" applyFill="1" applyBorder="1" applyAlignment="1">
      <alignment horizontal="center" vertical="center"/>
    </xf>
    <xf numFmtId="0" fontId="4" fillId="18" borderId="26" xfId="0" applyFont="1" applyFill="1" applyBorder="1" applyAlignment="1">
      <alignment horizontal="center"/>
    </xf>
    <xf numFmtId="0" fontId="3" fillId="5" borderId="22" xfId="0" applyFont="1" applyFill="1" applyBorder="1" applyAlignment="1">
      <alignment horizontal="center"/>
    </xf>
    <xf numFmtId="0" fontId="3" fillId="5" borderId="35" xfId="0" applyFont="1" applyFill="1" applyBorder="1" applyAlignment="1">
      <alignment horizontal="center"/>
    </xf>
    <xf numFmtId="0" fontId="3" fillId="8" borderId="27" xfId="0" applyFont="1" applyFill="1" applyBorder="1" applyAlignment="1">
      <alignment horizontal="center"/>
    </xf>
    <xf numFmtId="0" fontId="3" fillId="8" borderId="28" xfId="0" applyFont="1" applyFill="1" applyBorder="1" applyAlignment="1">
      <alignment horizontal="center"/>
    </xf>
    <xf numFmtId="0" fontId="3" fillId="8" borderId="29" xfId="0" applyFont="1" applyFill="1" applyBorder="1" applyAlignment="1">
      <alignment horizontal="center"/>
    </xf>
    <xf numFmtId="0" fontId="9" fillId="20" borderId="16" xfId="0" applyFont="1" applyFill="1" applyBorder="1" applyAlignment="1">
      <alignment horizontal="center"/>
    </xf>
    <xf numFmtId="0" fontId="9" fillId="20" borderId="17" xfId="0" applyFont="1" applyFill="1" applyBorder="1" applyAlignment="1">
      <alignment horizontal="center"/>
    </xf>
    <xf numFmtId="0" fontId="9" fillId="20" borderId="18" xfId="0" applyFont="1" applyFill="1" applyBorder="1" applyAlignment="1">
      <alignment horizontal="center"/>
    </xf>
    <xf numFmtId="0" fontId="4" fillId="16" borderId="10" xfId="0" applyFont="1" applyFill="1" applyBorder="1" applyAlignment="1">
      <alignment horizontal="center"/>
    </xf>
    <xf numFmtId="0" fontId="4" fillId="16" borderId="11" xfId="0" applyFont="1" applyFill="1" applyBorder="1" applyAlignment="1">
      <alignment horizontal="center"/>
    </xf>
    <xf numFmtId="0" fontId="4" fillId="16" borderId="12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14" borderId="23" xfId="0" applyFont="1" applyFill="1" applyBorder="1" applyAlignment="1">
      <alignment horizontal="center"/>
    </xf>
    <xf numFmtId="0" fontId="4" fillId="14" borderId="24" xfId="0" applyFont="1" applyFill="1" applyBorder="1" applyAlignment="1">
      <alignment horizontal="center"/>
    </xf>
    <xf numFmtId="0" fontId="4" fillId="14" borderId="25" xfId="0" applyFont="1" applyFill="1" applyBorder="1" applyAlignment="1">
      <alignment horizontal="center"/>
    </xf>
    <xf numFmtId="0" fontId="4" fillId="14" borderId="8" xfId="0" applyFont="1" applyFill="1" applyBorder="1" applyAlignment="1">
      <alignment horizontal="center"/>
    </xf>
    <xf numFmtId="0" fontId="4" fillId="14" borderId="5" xfId="0" applyFont="1" applyFill="1" applyBorder="1" applyAlignment="1">
      <alignment horizontal="center"/>
    </xf>
    <xf numFmtId="0" fontId="4" fillId="14" borderId="9" xfId="0" applyFont="1" applyFill="1" applyBorder="1" applyAlignment="1">
      <alignment horizontal="center"/>
    </xf>
    <xf numFmtId="0" fontId="3" fillId="15" borderId="2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3" fillId="6" borderId="34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3" borderId="22" xfId="0" applyFont="1" applyFill="1" applyBorder="1" applyAlignment="1">
      <alignment horizontal="center"/>
    </xf>
    <xf numFmtId="0" fontId="3" fillId="11" borderId="31" xfId="0" applyFont="1" applyFill="1" applyBorder="1" applyAlignment="1">
      <alignment horizontal="center"/>
    </xf>
    <xf numFmtId="0" fontId="3" fillId="11" borderId="32" xfId="0" applyFont="1" applyFill="1" applyBorder="1" applyAlignment="1">
      <alignment horizontal="center"/>
    </xf>
    <xf numFmtId="0" fontId="3" fillId="11" borderId="33" xfId="0" applyFont="1" applyFill="1" applyBorder="1" applyAlignment="1">
      <alignment horizontal="center"/>
    </xf>
    <xf numFmtId="0" fontId="4" fillId="12" borderId="6" xfId="0" applyFont="1" applyFill="1" applyBorder="1" applyAlignment="1">
      <alignment horizontal="center"/>
    </xf>
    <xf numFmtId="0" fontId="4" fillId="12" borderId="45" xfId="0" applyFont="1" applyFill="1" applyBorder="1" applyAlignment="1">
      <alignment horizontal="center"/>
    </xf>
    <xf numFmtId="0" fontId="4" fillId="12" borderId="7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7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17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6633"/>
      <color rgb="FFA3FFFF"/>
      <color rgb="FF8FFF8F"/>
      <color rgb="FF009999"/>
      <color rgb="FFFF97DF"/>
      <color rgb="FFFF69D1"/>
      <color rgb="FFCC0099"/>
      <color rgb="FFFF8B8B"/>
      <color rgb="FFFF5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Simplistic 2D Trajectory Path (X vs. Z)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'3DTraj'!$I$15:$I$95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-5.4925750729273764E-3</c:v>
                </c:pt>
                <c:pt idx="20">
                  <c:v>0.26140890688418106</c:v>
                </c:pt>
                <c:pt idx="21">
                  <c:v>0.70624284839446494</c:v>
                </c:pt>
                <c:pt idx="22">
                  <c:v>1.3290070932539737</c:v>
                </c:pt>
                <c:pt idx="23">
                  <c:v>2.1296989137594964</c:v>
                </c:pt>
                <c:pt idx="24">
                  <c:v>3.1083150106820661</c:v>
                </c:pt>
                <c:pt idx="25">
                  <c:v>4.2648515132914442</c:v>
                </c:pt>
                <c:pt idx="26">
                  <c:v>5.5993039793917632</c:v>
                </c:pt>
                <c:pt idx="27">
                  <c:v>7.1116673952993885</c:v>
                </c:pt>
                <c:pt idx="28">
                  <c:v>8.8019361759305248</c:v>
                </c:pt>
                <c:pt idx="29">
                  <c:v>10.670104164732198</c:v>
                </c:pt>
                <c:pt idx="30">
                  <c:v>12.716164633800059</c:v>
                </c:pt>
                <c:pt idx="31">
                  <c:v>14.940110283837443</c:v>
                </c:pt>
                <c:pt idx="32">
                  <c:v>17.341933244228009</c:v>
                </c:pt>
                <c:pt idx="33">
                  <c:v>19.921625073031088</c:v>
                </c:pt>
                <c:pt idx="34">
                  <c:v>22.679176757050307</c:v>
                </c:pt>
                <c:pt idx="35">
                  <c:v>25.614578711855252</c:v>
                </c:pt>
                <c:pt idx="36">
                  <c:v>28.727820781802251</c:v>
                </c:pt>
                <c:pt idx="37">
                  <c:v>32.018892240100307</c:v>
                </c:pt>
                <c:pt idx="38">
                  <c:v>35.487781788862989</c:v>
                </c:pt>
                <c:pt idx="39">
                  <c:v>35.487781788862989</c:v>
                </c:pt>
                <c:pt idx="40">
                  <c:v>41.927893257390743</c:v>
                </c:pt>
                <c:pt idx="41">
                  <c:v>48.36791664949471</c:v>
                </c:pt>
                <c:pt idx="42">
                  <c:v>54.80784684571185</c:v>
                </c:pt>
                <c:pt idx="43">
                  <c:v>61.247678726653213</c:v>
                </c:pt>
                <c:pt idx="44">
                  <c:v>67.687407173008012</c:v>
                </c:pt>
                <c:pt idx="45">
                  <c:v>74.127027065547651</c:v>
                </c:pt>
                <c:pt idx="46">
                  <c:v>80.566533285129864</c:v>
                </c:pt>
                <c:pt idx="47">
                  <c:v>87.005920712702746</c:v>
                </c:pt>
                <c:pt idx="48">
                  <c:v>93.445184229308808</c:v>
                </c:pt>
                <c:pt idx="49">
                  <c:v>99.884318716089084</c:v>
                </c:pt>
                <c:pt idx="50">
                  <c:v>106.32331905428715</c:v>
                </c:pt>
                <c:pt idx="51">
                  <c:v>112.76218012525327</c:v>
                </c:pt>
                <c:pt idx="52">
                  <c:v>119.20089681044836</c:v>
                </c:pt>
                <c:pt idx="53">
                  <c:v>125.63946399144814</c:v>
                </c:pt>
                <c:pt idx="54">
                  <c:v>132.07787654994721</c:v>
                </c:pt>
                <c:pt idx="55">
                  <c:v>138.51612936776303</c:v>
                </c:pt>
                <c:pt idx="56">
                  <c:v>144.95421732684008</c:v>
                </c:pt>
                <c:pt idx="57">
                  <c:v>151.39213530925389</c:v>
                </c:pt>
                <c:pt idx="58">
                  <c:v>157.82987819721509</c:v>
                </c:pt>
                <c:pt idx="59">
                  <c:v>164.1065030099484</c:v>
                </c:pt>
                <c:pt idx="60">
                  <c:v>167.3961181644008</c:v>
                </c:pt>
                <c:pt idx="61">
                  <c:v>170.50791235137845</c:v>
                </c:pt>
                <c:pt idx="62">
                  <c:v>173.44188287770305</c:v>
                </c:pt>
                <c:pt idx="63">
                  <c:v>176.19802762162519</c:v>
                </c:pt>
                <c:pt idx="64">
                  <c:v>178.77634503280143</c:v>
                </c:pt>
                <c:pt idx="65">
                  <c:v>181.17683413228929</c:v>
                </c:pt>
                <c:pt idx="66">
                  <c:v>183.39949451252556</c:v>
                </c:pt>
                <c:pt idx="67">
                  <c:v>185.44432633735056</c:v>
                </c:pt>
                <c:pt idx="68">
                  <c:v>187.31133034195878</c:v>
                </c:pt>
                <c:pt idx="69">
                  <c:v>189.00050783291758</c:v>
                </c:pt>
                <c:pt idx="70">
                  <c:v>190.51186068810875</c:v>
                </c:pt>
                <c:pt idx="71">
                  <c:v>191.84539135677468</c:v>
                </c:pt>
                <c:pt idx="72">
                  <c:v>193.00110285942066</c:v>
                </c:pt>
                <c:pt idx="73">
                  <c:v>193.97899878785304</c:v>
                </c:pt>
                <c:pt idx="74">
                  <c:v>194.7790833051169</c:v>
                </c:pt>
                <c:pt idx="75">
                  <c:v>195.40136114548474</c:v>
                </c:pt>
                <c:pt idx="76">
                  <c:v>195.84583761443912</c:v>
                </c:pt>
                <c:pt idx="77">
                  <c:v>196.11251858860186</c:v>
                </c:pt>
                <c:pt idx="78">
                  <c:v>196.20141051574109</c:v>
                </c:pt>
                <c:pt idx="79">
                  <c:v>196.20141051574109</c:v>
                </c:pt>
              </c:numCache>
            </c:numRef>
          </c:xVal>
          <c:yVal>
            <c:numRef>
              <c:f>'3DTraj'!$K$15:$K$95</c:f>
              <c:numCache>
                <c:formatCode>General</c:formatCode>
                <c:ptCount val="81"/>
                <c:pt idx="0">
                  <c:v>45</c:v>
                </c:pt>
                <c:pt idx="1">
                  <c:v>90</c:v>
                </c:pt>
                <c:pt idx="2">
                  <c:v>135</c:v>
                </c:pt>
                <c:pt idx="3">
                  <c:v>180</c:v>
                </c:pt>
                <c:pt idx="4">
                  <c:v>225</c:v>
                </c:pt>
                <c:pt idx="5">
                  <c:v>270</c:v>
                </c:pt>
                <c:pt idx="6">
                  <c:v>315</c:v>
                </c:pt>
                <c:pt idx="7">
                  <c:v>360</c:v>
                </c:pt>
                <c:pt idx="8">
                  <c:v>405</c:v>
                </c:pt>
                <c:pt idx="9">
                  <c:v>450</c:v>
                </c:pt>
                <c:pt idx="10">
                  <c:v>495</c:v>
                </c:pt>
                <c:pt idx="11">
                  <c:v>540</c:v>
                </c:pt>
                <c:pt idx="12">
                  <c:v>585</c:v>
                </c:pt>
                <c:pt idx="13">
                  <c:v>630</c:v>
                </c:pt>
                <c:pt idx="14">
                  <c:v>675</c:v>
                </c:pt>
                <c:pt idx="15">
                  <c:v>720</c:v>
                </c:pt>
                <c:pt idx="16">
                  <c:v>765</c:v>
                </c:pt>
                <c:pt idx="17">
                  <c:v>810</c:v>
                </c:pt>
                <c:pt idx="18">
                  <c:v>855</c:v>
                </c:pt>
                <c:pt idx="19">
                  <c:v>899.99998136789407</c:v>
                </c:pt>
                <c:pt idx="20">
                  <c:v>1012.8921311460663</c:v>
                </c:pt>
                <c:pt idx="21">
                  <c:v>1125.7837200119914</c:v>
                </c:pt>
                <c:pt idx="22">
                  <c:v>1238.6744675112877</c:v>
                </c:pt>
                <c:pt idx="23">
                  <c:v>1351.5640931916637</c:v>
                </c:pt>
                <c:pt idx="24">
                  <c:v>1464.4523166036151</c:v>
                </c:pt>
                <c:pt idx="25">
                  <c:v>1577.3388573011205</c:v>
                </c:pt>
                <c:pt idx="26">
                  <c:v>1690.2234348423397</c:v>
                </c:pt>
                <c:pt idx="27">
                  <c:v>1803.1057687903087</c:v>
                </c:pt>
                <c:pt idx="28">
                  <c:v>1915.9855787136376</c:v>
                </c:pt>
                <c:pt idx="29">
                  <c:v>2028.8625841872074</c:v>
                </c:pt>
                <c:pt idx="30">
                  <c:v>2141.7365047928652</c:v>
                </c:pt>
                <c:pt idx="31">
                  <c:v>2254.6070601201227</c:v>
                </c:pt>
                <c:pt idx="32">
                  <c:v>2367.4739697668506</c:v>
                </c:pt>
                <c:pt idx="33">
                  <c:v>2480.3369533399778</c:v>
                </c:pt>
                <c:pt idx="34">
                  <c:v>2593.1957304561865</c:v>
                </c:pt>
                <c:pt idx="35">
                  <c:v>2706.050020742608</c:v>
                </c:pt>
                <c:pt idx="36">
                  <c:v>2818.8995438375209</c:v>
                </c:pt>
                <c:pt idx="37">
                  <c:v>2931.744019391047</c:v>
                </c:pt>
                <c:pt idx="38">
                  <c:v>3044.5831670658467</c:v>
                </c:pt>
                <c:pt idx="39">
                  <c:v>3145.6779606162363</c:v>
                </c:pt>
                <c:pt idx="40">
                  <c:v>3349.9304194880265</c:v>
                </c:pt>
                <c:pt idx="41">
                  <c:v>3554.1828783598166</c:v>
                </c:pt>
                <c:pt idx="42">
                  <c:v>3758.4353372316068</c:v>
                </c:pt>
                <c:pt idx="43">
                  <c:v>3962.687796103397</c:v>
                </c:pt>
                <c:pt idx="44">
                  <c:v>4166.9402549751867</c:v>
                </c:pt>
                <c:pt idx="45">
                  <c:v>4371.1927138469764</c:v>
                </c:pt>
                <c:pt idx="46">
                  <c:v>4575.4451727187661</c:v>
                </c:pt>
                <c:pt idx="47">
                  <c:v>4779.6976315905558</c:v>
                </c:pt>
                <c:pt idx="48">
                  <c:v>4983.9500904623455</c:v>
                </c:pt>
                <c:pt idx="49">
                  <c:v>5188.2025493341353</c:v>
                </c:pt>
                <c:pt idx="50">
                  <c:v>5392.455008205925</c:v>
                </c:pt>
                <c:pt idx="51">
                  <c:v>5596.7074670777147</c:v>
                </c:pt>
                <c:pt idx="52">
                  <c:v>5800.9599259495044</c:v>
                </c:pt>
                <c:pt idx="53">
                  <c:v>6005.2123848212941</c:v>
                </c:pt>
                <c:pt idx="54">
                  <c:v>6209.4648436930838</c:v>
                </c:pt>
                <c:pt idx="55">
                  <c:v>6413.7173025648735</c:v>
                </c:pt>
                <c:pt idx="56">
                  <c:v>6617.9697614366632</c:v>
                </c:pt>
                <c:pt idx="57">
                  <c:v>6822.222220308453</c:v>
                </c:pt>
                <c:pt idx="58">
                  <c:v>7026.4746791802427</c:v>
                </c:pt>
                <c:pt idx="59">
                  <c:v>7230.7321293675577</c:v>
                </c:pt>
                <c:pt idx="60">
                  <c:v>7343.5766049210833</c:v>
                </c:pt>
                <c:pt idx="61">
                  <c:v>7456.4261280159963</c:v>
                </c:pt>
                <c:pt idx="62">
                  <c:v>7569.2804183024182</c:v>
                </c:pt>
                <c:pt idx="63">
                  <c:v>7682.1391954186265</c:v>
                </c:pt>
                <c:pt idx="64">
                  <c:v>7795.0021789917537</c:v>
                </c:pt>
                <c:pt idx="65">
                  <c:v>7907.869088638482</c:v>
                </c:pt>
                <c:pt idx="66">
                  <c:v>8020.7396439657396</c:v>
                </c:pt>
                <c:pt idx="67">
                  <c:v>8133.6135645713975</c:v>
                </c:pt>
                <c:pt idx="68">
                  <c:v>8246.4905700449672</c:v>
                </c:pt>
                <c:pt idx="69">
                  <c:v>8359.3703799682953</c:v>
                </c:pt>
                <c:pt idx="70">
                  <c:v>8472.2527139162648</c:v>
                </c:pt>
                <c:pt idx="71">
                  <c:v>8585.137291457484</c:v>
                </c:pt>
                <c:pt idx="72">
                  <c:v>8698.0238321549896</c:v>
                </c:pt>
                <c:pt idx="73">
                  <c:v>8810.9120555669415</c:v>
                </c:pt>
                <c:pt idx="74">
                  <c:v>8923.8016812473179</c:v>
                </c:pt>
                <c:pt idx="75">
                  <c:v>9036.6924287466136</c:v>
                </c:pt>
                <c:pt idx="76">
                  <c:v>9149.5840176125384</c:v>
                </c:pt>
                <c:pt idx="77">
                  <c:v>9262.4761673907105</c:v>
                </c:pt>
                <c:pt idx="78">
                  <c:v>9375.3685976253546</c:v>
                </c:pt>
                <c:pt idx="79">
                  <c:v>9488.2610746027676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D6D-4B82-8077-5850B9F5D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863576"/>
        <c:axId val="500864560"/>
      </c:scatterChart>
      <c:valAx>
        <c:axId val="5008635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64560"/>
        <c:crosses val="autoZero"/>
        <c:crossBetween val="midCat"/>
      </c:valAx>
      <c:valAx>
        <c:axId val="5008645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63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Simplistic 2D Trajectory Path (Y vs.</a:t>
            </a:r>
            <a:r>
              <a:rPr lang="en-US" baseline="0"/>
              <a:t> Z</a:t>
            </a:r>
            <a:r>
              <a:rPr lang="en-US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'3DTraj'!$J$15:$J$95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2.8428237325180579E-3</c:v>
                </c:pt>
                <c:pt idx="20">
                  <c:v>4.1475434994479796E-3</c:v>
                </c:pt>
                <c:pt idx="21">
                  <c:v>3.3398745094485158</c:v>
                </c:pt>
                <c:pt idx="22">
                  <c:v>6.6768656631251506</c:v>
                </c:pt>
                <c:pt idx="23">
                  <c:v>10.015296274168429</c:v>
                </c:pt>
                <c:pt idx="24">
                  <c:v>13.355341606022321</c:v>
                </c:pt>
                <c:pt idx="25">
                  <c:v>16.697176914979085</c:v>
                </c:pt>
                <c:pt idx="26">
                  <c:v>20.040977449224879</c:v>
                </c:pt>
                <c:pt idx="27">
                  <c:v>23.386918447881314</c:v>
                </c:pt>
                <c:pt idx="28">
                  <c:v>26.735175140053265</c:v>
                </c:pt>
                <c:pt idx="29">
                  <c:v>30.085922743870022</c:v>
                </c:pt>
                <c:pt idx="30">
                  <c:v>33.439336465530999</c:v>
                </c:pt>
                <c:pt idx="31">
                  <c:v>36.795591498349857</c:v>
                </c:pt>
                <c:pt idx="32">
                  <c:v>40.154863021799642</c:v>
                </c:pt>
                <c:pt idx="33">
                  <c:v>43.517326200556013</c:v>
                </c:pt>
                <c:pt idx="34">
                  <c:v>46.883156183542845</c:v>
                </c:pt>
                <c:pt idx="35">
                  <c:v>50.252528102976243</c:v>
                </c:pt>
                <c:pt idx="36">
                  <c:v>53.625617073409103</c:v>
                </c:pt>
                <c:pt idx="37">
                  <c:v>57.002598190776681</c:v>
                </c:pt>
                <c:pt idx="38">
                  <c:v>60.38364653144145</c:v>
                </c:pt>
                <c:pt idx="39">
                  <c:v>63.716979864774785</c:v>
                </c:pt>
                <c:pt idx="40">
                  <c:v>66.954399137807243</c:v>
                </c:pt>
                <c:pt idx="41">
                  <c:v>70.186076466990158</c:v>
                </c:pt>
                <c:pt idx="42">
                  <c:v>73.412011933134437</c:v>
                </c:pt>
                <c:pt idx="43">
                  <c:v>76.632205621615455</c:v>
                </c:pt>
                <c:pt idx="44">
                  <c:v>79.846657622372987</c:v>
                </c:pt>
                <c:pt idx="45">
                  <c:v>83.055368029911136</c:v>
                </c:pt>
                <c:pt idx="46">
                  <c:v>86.258336943298232</c:v>
                </c:pt>
                <c:pt idx="47">
                  <c:v>89.455564466166805</c:v>
                </c:pt>
                <c:pt idx="48">
                  <c:v>92.647050706713443</c:v>
                </c:pt>
                <c:pt idx="49">
                  <c:v>95.832795777698777</c:v>
                </c:pt>
                <c:pt idx="50">
                  <c:v>99.012799796447311</c:v>
                </c:pt>
                <c:pt idx="51">
                  <c:v>102.18706288484738</c:v>
                </c:pt>
                <c:pt idx="52">
                  <c:v>105.35558516935106</c:v>
                </c:pt>
                <c:pt idx="53">
                  <c:v>108.51836678097402</c:v>
                </c:pt>
                <c:pt idx="54">
                  <c:v>111.67540785529548</c:v>
                </c:pt>
                <c:pt idx="55">
                  <c:v>114.82670853245804</c:v>
                </c:pt>
                <c:pt idx="56">
                  <c:v>117.97226895716761</c:v>
                </c:pt>
                <c:pt idx="57">
                  <c:v>121.1120892786933</c:v>
                </c:pt>
                <c:pt idx="58">
                  <c:v>124.24616965086726</c:v>
                </c:pt>
                <c:pt idx="59">
                  <c:v>127.78091831142282</c:v>
                </c:pt>
                <c:pt idx="60">
                  <c:v>131.22143657033919</c:v>
                </c:pt>
                <c:pt idx="61">
                  <c:v>134.65769528777224</c:v>
                </c:pt>
                <c:pt idx="62">
                  <c:v>138.08951906019388</c:v>
                </c:pt>
                <c:pt idx="63">
                  <c:v>141.51673249164685</c:v>
                </c:pt>
                <c:pt idx="64">
                  <c:v>144.93916019470078</c:v>
                </c:pt>
                <c:pt idx="65">
                  <c:v>148.35662679140634</c:v>
                </c:pt>
                <c:pt idx="66">
                  <c:v>151.7689569142531</c:v>
                </c:pt>
                <c:pt idx="67">
                  <c:v>155.17597520712479</c:v>
                </c:pt>
                <c:pt idx="68">
                  <c:v>158.57750632625545</c:v>
                </c:pt>
                <c:pt idx="69">
                  <c:v>161.97337494118489</c:v>
                </c:pt>
                <c:pt idx="70">
                  <c:v>165.36340573571448</c:v>
                </c:pt>
                <c:pt idx="71">
                  <c:v>168.74742340886581</c:v>
                </c:pt>
                <c:pt idx="72">
                  <c:v>172.12525267583069</c:v>
                </c:pt>
                <c:pt idx="73">
                  <c:v>175.49671826893297</c:v>
                </c:pt>
                <c:pt idx="74">
                  <c:v>178.86164493857981</c:v>
                </c:pt>
                <c:pt idx="75">
                  <c:v>182.21985745421929</c:v>
                </c:pt>
                <c:pt idx="76">
                  <c:v>185.57118060529621</c:v>
                </c:pt>
                <c:pt idx="77">
                  <c:v>188.91543920220585</c:v>
                </c:pt>
                <c:pt idx="78">
                  <c:v>192.25245807725108</c:v>
                </c:pt>
                <c:pt idx="79">
                  <c:v>195.58579141058442</c:v>
                </c:pt>
              </c:numCache>
            </c:numRef>
          </c:xVal>
          <c:yVal>
            <c:numRef>
              <c:f>'3DTraj'!$K$15:$K$95</c:f>
              <c:numCache>
                <c:formatCode>General</c:formatCode>
                <c:ptCount val="81"/>
                <c:pt idx="0">
                  <c:v>45</c:v>
                </c:pt>
                <c:pt idx="1">
                  <c:v>90</c:v>
                </c:pt>
                <c:pt idx="2">
                  <c:v>135</c:v>
                </c:pt>
                <c:pt idx="3">
                  <c:v>180</c:v>
                </c:pt>
                <c:pt idx="4">
                  <c:v>225</c:v>
                </c:pt>
                <c:pt idx="5">
                  <c:v>270</c:v>
                </c:pt>
                <c:pt idx="6">
                  <c:v>315</c:v>
                </c:pt>
                <c:pt idx="7">
                  <c:v>360</c:v>
                </c:pt>
                <c:pt idx="8">
                  <c:v>405</c:v>
                </c:pt>
                <c:pt idx="9">
                  <c:v>450</c:v>
                </c:pt>
                <c:pt idx="10">
                  <c:v>495</c:v>
                </c:pt>
                <c:pt idx="11">
                  <c:v>540</c:v>
                </c:pt>
                <c:pt idx="12">
                  <c:v>585</c:v>
                </c:pt>
                <c:pt idx="13">
                  <c:v>630</c:v>
                </c:pt>
                <c:pt idx="14">
                  <c:v>675</c:v>
                </c:pt>
                <c:pt idx="15">
                  <c:v>720</c:v>
                </c:pt>
                <c:pt idx="16">
                  <c:v>765</c:v>
                </c:pt>
                <c:pt idx="17">
                  <c:v>810</c:v>
                </c:pt>
                <c:pt idx="18">
                  <c:v>855</c:v>
                </c:pt>
                <c:pt idx="19">
                  <c:v>899.99998136789407</c:v>
                </c:pt>
                <c:pt idx="20">
                  <c:v>1012.8921311460663</c:v>
                </c:pt>
                <c:pt idx="21">
                  <c:v>1125.7837200119914</c:v>
                </c:pt>
                <c:pt idx="22">
                  <c:v>1238.6744675112877</c:v>
                </c:pt>
                <c:pt idx="23">
                  <c:v>1351.5640931916637</c:v>
                </c:pt>
                <c:pt idx="24">
                  <c:v>1464.4523166036151</c:v>
                </c:pt>
                <c:pt idx="25">
                  <c:v>1577.3388573011205</c:v>
                </c:pt>
                <c:pt idx="26">
                  <c:v>1690.2234348423397</c:v>
                </c:pt>
                <c:pt idx="27">
                  <c:v>1803.1057687903087</c:v>
                </c:pt>
                <c:pt idx="28">
                  <c:v>1915.9855787136376</c:v>
                </c:pt>
                <c:pt idx="29">
                  <c:v>2028.8625841872074</c:v>
                </c:pt>
                <c:pt idx="30">
                  <c:v>2141.7365047928652</c:v>
                </c:pt>
                <c:pt idx="31">
                  <c:v>2254.6070601201227</c:v>
                </c:pt>
                <c:pt idx="32">
                  <c:v>2367.4739697668506</c:v>
                </c:pt>
                <c:pt idx="33">
                  <c:v>2480.3369533399778</c:v>
                </c:pt>
                <c:pt idx="34">
                  <c:v>2593.1957304561865</c:v>
                </c:pt>
                <c:pt idx="35">
                  <c:v>2706.050020742608</c:v>
                </c:pt>
                <c:pt idx="36">
                  <c:v>2818.8995438375209</c:v>
                </c:pt>
                <c:pt idx="37">
                  <c:v>2931.744019391047</c:v>
                </c:pt>
                <c:pt idx="38">
                  <c:v>3044.5831670658467</c:v>
                </c:pt>
                <c:pt idx="39">
                  <c:v>3145.6779606162363</c:v>
                </c:pt>
                <c:pt idx="40">
                  <c:v>3349.9304194880265</c:v>
                </c:pt>
                <c:pt idx="41">
                  <c:v>3554.1828783598166</c:v>
                </c:pt>
                <c:pt idx="42">
                  <c:v>3758.4353372316068</c:v>
                </c:pt>
                <c:pt idx="43">
                  <c:v>3962.687796103397</c:v>
                </c:pt>
                <c:pt idx="44">
                  <c:v>4166.9402549751867</c:v>
                </c:pt>
                <c:pt idx="45">
                  <c:v>4371.1927138469764</c:v>
                </c:pt>
                <c:pt idx="46">
                  <c:v>4575.4451727187661</c:v>
                </c:pt>
                <c:pt idx="47">
                  <c:v>4779.6976315905558</c:v>
                </c:pt>
                <c:pt idx="48">
                  <c:v>4983.9500904623455</c:v>
                </c:pt>
                <c:pt idx="49">
                  <c:v>5188.2025493341353</c:v>
                </c:pt>
                <c:pt idx="50">
                  <c:v>5392.455008205925</c:v>
                </c:pt>
                <c:pt idx="51">
                  <c:v>5596.7074670777147</c:v>
                </c:pt>
                <c:pt idx="52">
                  <c:v>5800.9599259495044</c:v>
                </c:pt>
                <c:pt idx="53">
                  <c:v>6005.2123848212941</c:v>
                </c:pt>
                <c:pt idx="54">
                  <c:v>6209.4648436930838</c:v>
                </c:pt>
                <c:pt idx="55">
                  <c:v>6413.7173025648735</c:v>
                </c:pt>
                <c:pt idx="56">
                  <c:v>6617.9697614366632</c:v>
                </c:pt>
                <c:pt idx="57">
                  <c:v>6822.222220308453</c:v>
                </c:pt>
                <c:pt idx="58">
                  <c:v>7026.4746791802427</c:v>
                </c:pt>
                <c:pt idx="59">
                  <c:v>7230.7321293675577</c:v>
                </c:pt>
                <c:pt idx="60">
                  <c:v>7343.5766049210833</c:v>
                </c:pt>
                <c:pt idx="61">
                  <c:v>7456.4261280159963</c:v>
                </c:pt>
                <c:pt idx="62">
                  <c:v>7569.2804183024182</c:v>
                </c:pt>
                <c:pt idx="63">
                  <c:v>7682.1391954186265</c:v>
                </c:pt>
                <c:pt idx="64">
                  <c:v>7795.0021789917537</c:v>
                </c:pt>
                <c:pt idx="65">
                  <c:v>7907.869088638482</c:v>
                </c:pt>
                <c:pt idx="66">
                  <c:v>8020.7396439657396</c:v>
                </c:pt>
                <c:pt idx="67">
                  <c:v>8133.6135645713975</c:v>
                </c:pt>
                <c:pt idx="68">
                  <c:v>8246.4905700449672</c:v>
                </c:pt>
                <c:pt idx="69">
                  <c:v>8359.3703799682953</c:v>
                </c:pt>
                <c:pt idx="70">
                  <c:v>8472.2527139162648</c:v>
                </c:pt>
                <c:pt idx="71">
                  <c:v>8585.137291457484</c:v>
                </c:pt>
                <c:pt idx="72">
                  <c:v>8698.0238321549896</c:v>
                </c:pt>
                <c:pt idx="73">
                  <c:v>8810.9120555669415</c:v>
                </c:pt>
                <c:pt idx="74">
                  <c:v>8923.8016812473179</c:v>
                </c:pt>
                <c:pt idx="75">
                  <c:v>9036.6924287466136</c:v>
                </c:pt>
                <c:pt idx="76">
                  <c:v>9149.5840176125384</c:v>
                </c:pt>
                <c:pt idx="77">
                  <c:v>9262.4761673907105</c:v>
                </c:pt>
                <c:pt idx="78">
                  <c:v>9375.3685976253546</c:v>
                </c:pt>
                <c:pt idx="79">
                  <c:v>9488.2610746027676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05-4ADC-B90D-983A56CF6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863576"/>
        <c:axId val="500864560"/>
      </c:scatterChart>
      <c:valAx>
        <c:axId val="5008635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64560"/>
        <c:crosses val="autoZero"/>
        <c:crossBetween val="midCat"/>
      </c:valAx>
      <c:valAx>
        <c:axId val="5008645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63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Simplistic 2D Trajectory Path (X</a:t>
            </a:r>
            <a:r>
              <a:rPr lang="en-US" baseline="0"/>
              <a:t> vs. Y</a:t>
            </a:r>
            <a:r>
              <a:rPr lang="en-US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'3DTraj'!$I$15:$I$95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-5.4925750729273764E-3</c:v>
                </c:pt>
                <c:pt idx="20">
                  <c:v>0.26140890688418106</c:v>
                </c:pt>
                <c:pt idx="21">
                  <c:v>0.70624284839446494</c:v>
                </c:pt>
                <c:pt idx="22">
                  <c:v>1.3290070932539737</c:v>
                </c:pt>
                <c:pt idx="23">
                  <c:v>2.1296989137594964</c:v>
                </c:pt>
                <c:pt idx="24">
                  <c:v>3.1083150106820661</c:v>
                </c:pt>
                <c:pt idx="25">
                  <c:v>4.2648515132914442</c:v>
                </c:pt>
                <c:pt idx="26">
                  <c:v>5.5993039793917632</c:v>
                </c:pt>
                <c:pt idx="27">
                  <c:v>7.1116673952993885</c:v>
                </c:pt>
                <c:pt idx="28">
                  <c:v>8.8019361759305248</c:v>
                </c:pt>
                <c:pt idx="29">
                  <c:v>10.670104164732198</c:v>
                </c:pt>
                <c:pt idx="30">
                  <c:v>12.716164633800059</c:v>
                </c:pt>
                <c:pt idx="31">
                  <c:v>14.940110283837443</c:v>
                </c:pt>
                <c:pt idx="32">
                  <c:v>17.341933244228009</c:v>
                </c:pt>
                <c:pt idx="33">
                  <c:v>19.921625073031088</c:v>
                </c:pt>
                <c:pt idx="34">
                  <c:v>22.679176757050307</c:v>
                </c:pt>
                <c:pt idx="35">
                  <c:v>25.614578711855252</c:v>
                </c:pt>
                <c:pt idx="36">
                  <c:v>28.727820781802251</c:v>
                </c:pt>
                <c:pt idx="37">
                  <c:v>32.018892240100307</c:v>
                </c:pt>
                <c:pt idx="38">
                  <c:v>35.487781788862989</c:v>
                </c:pt>
                <c:pt idx="39">
                  <c:v>35.487781788862989</c:v>
                </c:pt>
                <c:pt idx="40">
                  <c:v>41.927893257390743</c:v>
                </c:pt>
                <c:pt idx="41">
                  <c:v>48.36791664949471</c:v>
                </c:pt>
                <c:pt idx="42">
                  <c:v>54.80784684571185</c:v>
                </c:pt>
                <c:pt idx="43">
                  <c:v>61.247678726653213</c:v>
                </c:pt>
                <c:pt idx="44">
                  <c:v>67.687407173008012</c:v>
                </c:pt>
                <c:pt idx="45">
                  <c:v>74.127027065547651</c:v>
                </c:pt>
                <c:pt idx="46">
                  <c:v>80.566533285129864</c:v>
                </c:pt>
                <c:pt idx="47">
                  <c:v>87.005920712702746</c:v>
                </c:pt>
                <c:pt idx="48">
                  <c:v>93.445184229308808</c:v>
                </c:pt>
                <c:pt idx="49">
                  <c:v>99.884318716089084</c:v>
                </c:pt>
                <c:pt idx="50">
                  <c:v>106.32331905428715</c:v>
                </c:pt>
                <c:pt idx="51">
                  <c:v>112.76218012525327</c:v>
                </c:pt>
                <c:pt idx="52">
                  <c:v>119.20089681044836</c:v>
                </c:pt>
                <c:pt idx="53">
                  <c:v>125.63946399144814</c:v>
                </c:pt>
                <c:pt idx="54">
                  <c:v>132.07787654994721</c:v>
                </c:pt>
                <c:pt idx="55">
                  <c:v>138.51612936776303</c:v>
                </c:pt>
                <c:pt idx="56">
                  <c:v>144.95421732684008</c:v>
                </c:pt>
                <c:pt idx="57">
                  <c:v>151.39213530925389</c:v>
                </c:pt>
                <c:pt idx="58">
                  <c:v>157.82987819721509</c:v>
                </c:pt>
                <c:pt idx="59">
                  <c:v>164.1065030099484</c:v>
                </c:pt>
                <c:pt idx="60">
                  <c:v>167.3961181644008</c:v>
                </c:pt>
                <c:pt idx="61">
                  <c:v>170.50791235137845</c:v>
                </c:pt>
                <c:pt idx="62">
                  <c:v>173.44188287770305</c:v>
                </c:pt>
                <c:pt idx="63">
                  <c:v>176.19802762162519</c:v>
                </c:pt>
                <c:pt idx="64">
                  <c:v>178.77634503280143</c:v>
                </c:pt>
                <c:pt idx="65">
                  <c:v>181.17683413228929</c:v>
                </c:pt>
                <c:pt idx="66">
                  <c:v>183.39949451252556</c:v>
                </c:pt>
                <c:pt idx="67">
                  <c:v>185.44432633735056</c:v>
                </c:pt>
                <c:pt idx="68">
                  <c:v>187.31133034195878</c:v>
                </c:pt>
                <c:pt idx="69">
                  <c:v>189.00050783291758</c:v>
                </c:pt>
                <c:pt idx="70">
                  <c:v>190.51186068810875</c:v>
                </c:pt>
                <c:pt idx="71">
                  <c:v>191.84539135677468</c:v>
                </c:pt>
                <c:pt idx="72">
                  <c:v>193.00110285942066</c:v>
                </c:pt>
                <c:pt idx="73">
                  <c:v>193.97899878785304</c:v>
                </c:pt>
                <c:pt idx="74">
                  <c:v>194.7790833051169</c:v>
                </c:pt>
                <c:pt idx="75">
                  <c:v>195.40136114548474</c:v>
                </c:pt>
                <c:pt idx="76">
                  <c:v>195.84583761443912</c:v>
                </c:pt>
                <c:pt idx="77">
                  <c:v>196.11251858860186</c:v>
                </c:pt>
                <c:pt idx="78">
                  <c:v>196.20141051574109</c:v>
                </c:pt>
                <c:pt idx="79">
                  <c:v>196.20141051574109</c:v>
                </c:pt>
              </c:numCache>
            </c:numRef>
          </c:xVal>
          <c:yVal>
            <c:numRef>
              <c:f>'3DTraj'!$J$15:$J$95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2.8428237325180579E-3</c:v>
                </c:pt>
                <c:pt idx="20">
                  <c:v>4.1475434994479796E-3</c:v>
                </c:pt>
                <c:pt idx="21">
                  <c:v>3.3398745094485158</c:v>
                </c:pt>
                <c:pt idx="22">
                  <c:v>6.6768656631251506</c:v>
                </c:pt>
                <c:pt idx="23">
                  <c:v>10.015296274168429</c:v>
                </c:pt>
                <c:pt idx="24">
                  <c:v>13.355341606022321</c:v>
                </c:pt>
                <c:pt idx="25">
                  <c:v>16.697176914979085</c:v>
                </c:pt>
                <c:pt idx="26">
                  <c:v>20.040977449224879</c:v>
                </c:pt>
                <c:pt idx="27">
                  <c:v>23.386918447881314</c:v>
                </c:pt>
                <c:pt idx="28">
                  <c:v>26.735175140053265</c:v>
                </c:pt>
                <c:pt idx="29">
                  <c:v>30.085922743870022</c:v>
                </c:pt>
                <c:pt idx="30">
                  <c:v>33.439336465530999</c:v>
                </c:pt>
                <c:pt idx="31">
                  <c:v>36.795591498349857</c:v>
                </c:pt>
                <c:pt idx="32">
                  <c:v>40.154863021799642</c:v>
                </c:pt>
                <c:pt idx="33">
                  <c:v>43.517326200556013</c:v>
                </c:pt>
                <c:pt idx="34">
                  <c:v>46.883156183542845</c:v>
                </c:pt>
                <c:pt idx="35">
                  <c:v>50.252528102976243</c:v>
                </c:pt>
                <c:pt idx="36">
                  <c:v>53.625617073409103</c:v>
                </c:pt>
                <c:pt idx="37">
                  <c:v>57.002598190776681</c:v>
                </c:pt>
                <c:pt idx="38">
                  <c:v>60.38364653144145</c:v>
                </c:pt>
                <c:pt idx="39">
                  <c:v>63.716979864774785</c:v>
                </c:pt>
                <c:pt idx="40">
                  <c:v>66.954399137807243</c:v>
                </c:pt>
                <c:pt idx="41">
                  <c:v>70.186076466990158</c:v>
                </c:pt>
                <c:pt idx="42">
                  <c:v>73.412011933134437</c:v>
                </c:pt>
                <c:pt idx="43">
                  <c:v>76.632205621615455</c:v>
                </c:pt>
                <c:pt idx="44">
                  <c:v>79.846657622372987</c:v>
                </c:pt>
                <c:pt idx="45">
                  <c:v>83.055368029911136</c:v>
                </c:pt>
                <c:pt idx="46">
                  <c:v>86.258336943298232</c:v>
                </c:pt>
                <c:pt idx="47">
                  <c:v>89.455564466166805</c:v>
                </c:pt>
                <c:pt idx="48">
                  <c:v>92.647050706713443</c:v>
                </c:pt>
                <c:pt idx="49">
                  <c:v>95.832795777698777</c:v>
                </c:pt>
                <c:pt idx="50">
                  <c:v>99.012799796447311</c:v>
                </c:pt>
                <c:pt idx="51">
                  <c:v>102.18706288484738</c:v>
                </c:pt>
                <c:pt idx="52">
                  <c:v>105.35558516935106</c:v>
                </c:pt>
                <c:pt idx="53">
                  <c:v>108.51836678097402</c:v>
                </c:pt>
                <c:pt idx="54">
                  <c:v>111.67540785529548</c:v>
                </c:pt>
                <c:pt idx="55">
                  <c:v>114.82670853245804</c:v>
                </c:pt>
                <c:pt idx="56">
                  <c:v>117.97226895716761</c:v>
                </c:pt>
                <c:pt idx="57">
                  <c:v>121.1120892786933</c:v>
                </c:pt>
                <c:pt idx="58">
                  <c:v>124.24616965086726</c:v>
                </c:pt>
                <c:pt idx="59">
                  <c:v>127.78091831142282</c:v>
                </c:pt>
                <c:pt idx="60">
                  <c:v>131.22143657033919</c:v>
                </c:pt>
                <c:pt idx="61">
                  <c:v>134.65769528777224</c:v>
                </c:pt>
                <c:pt idx="62">
                  <c:v>138.08951906019388</c:v>
                </c:pt>
                <c:pt idx="63">
                  <c:v>141.51673249164685</c:v>
                </c:pt>
                <c:pt idx="64">
                  <c:v>144.93916019470078</c:v>
                </c:pt>
                <c:pt idx="65">
                  <c:v>148.35662679140634</c:v>
                </c:pt>
                <c:pt idx="66">
                  <c:v>151.7689569142531</c:v>
                </c:pt>
                <c:pt idx="67">
                  <c:v>155.17597520712479</c:v>
                </c:pt>
                <c:pt idx="68">
                  <c:v>158.57750632625545</c:v>
                </c:pt>
                <c:pt idx="69">
                  <c:v>161.97337494118489</c:v>
                </c:pt>
                <c:pt idx="70">
                  <c:v>165.36340573571448</c:v>
                </c:pt>
                <c:pt idx="71">
                  <c:v>168.74742340886581</c:v>
                </c:pt>
                <c:pt idx="72">
                  <c:v>172.12525267583069</c:v>
                </c:pt>
                <c:pt idx="73">
                  <c:v>175.49671826893297</c:v>
                </c:pt>
                <c:pt idx="74">
                  <c:v>178.86164493857981</c:v>
                </c:pt>
                <c:pt idx="75">
                  <c:v>182.21985745421929</c:v>
                </c:pt>
                <c:pt idx="76">
                  <c:v>185.57118060529621</c:v>
                </c:pt>
                <c:pt idx="77">
                  <c:v>188.91543920220585</c:v>
                </c:pt>
                <c:pt idx="78">
                  <c:v>192.25245807725108</c:v>
                </c:pt>
                <c:pt idx="79">
                  <c:v>195.58579141058442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64-40A6-ABC9-1691486E8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863576"/>
        <c:axId val="500864560"/>
      </c:scatterChart>
      <c:valAx>
        <c:axId val="5008635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64560"/>
        <c:crosses val="autoZero"/>
        <c:crossBetween val="midCat"/>
      </c:valAx>
      <c:valAx>
        <c:axId val="5008645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63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Measured Depth vs F2 in 3D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3DvsF2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'3DTraj'!$AO$15:$AO$95</c:f>
              <c:numCache>
                <c:formatCode>General</c:formatCode>
                <c:ptCount val="81"/>
                <c:pt idx="0">
                  <c:v>45</c:v>
                </c:pt>
                <c:pt idx="1">
                  <c:v>90</c:v>
                </c:pt>
                <c:pt idx="2">
                  <c:v>135</c:v>
                </c:pt>
                <c:pt idx="3">
                  <c:v>180</c:v>
                </c:pt>
                <c:pt idx="4">
                  <c:v>225</c:v>
                </c:pt>
                <c:pt idx="5">
                  <c:v>270</c:v>
                </c:pt>
                <c:pt idx="6">
                  <c:v>315</c:v>
                </c:pt>
                <c:pt idx="7">
                  <c:v>360</c:v>
                </c:pt>
                <c:pt idx="8">
                  <c:v>405</c:v>
                </c:pt>
                <c:pt idx="9">
                  <c:v>450</c:v>
                </c:pt>
                <c:pt idx="10">
                  <c:v>495</c:v>
                </c:pt>
                <c:pt idx="11">
                  <c:v>540</c:v>
                </c:pt>
                <c:pt idx="12">
                  <c:v>585</c:v>
                </c:pt>
                <c:pt idx="13">
                  <c:v>630</c:v>
                </c:pt>
                <c:pt idx="14">
                  <c:v>675</c:v>
                </c:pt>
                <c:pt idx="15">
                  <c:v>720</c:v>
                </c:pt>
                <c:pt idx="16">
                  <c:v>765</c:v>
                </c:pt>
                <c:pt idx="17">
                  <c:v>810</c:v>
                </c:pt>
                <c:pt idx="18">
                  <c:v>855</c:v>
                </c:pt>
                <c:pt idx="19">
                  <c:v>900</c:v>
                </c:pt>
                <c:pt idx="20">
                  <c:v>1012.8924769774126</c:v>
                </c:pt>
                <c:pt idx="21">
                  <c:v>1125.7849539548251</c:v>
                </c:pt>
                <c:pt idx="22">
                  <c:v>1238.6774309322377</c:v>
                </c:pt>
                <c:pt idx="23">
                  <c:v>1351.5699079096503</c:v>
                </c:pt>
                <c:pt idx="24">
                  <c:v>1464.4623848870629</c:v>
                </c:pt>
                <c:pt idx="25">
                  <c:v>1577.3548618644754</c:v>
                </c:pt>
                <c:pt idx="26">
                  <c:v>1690.247338841888</c:v>
                </c:pt>
                <c:pt idx="27">
                  <c:v>1803.1398158193006</c:v>
                </c:pt>
                <c:pt idx="28">
                  <c:v>1916.0322927967131</c:v>
                </c:pt>
                <c:pt idx="29">
                  <c:v>2028.9247697741257</c:v>
                </c:pt>
                <c:pt idx="30">
                  <c:v>2141.8172467515383</c:v>
                </c:pt>
                <c:pt idx="31">
                  <c:v>2254.7097237289508</c:v>
                </c:pt>
                <c:pt idx="32">
                  <c:v>2367.6022007063634</c:v>
                </c:pt>
                <c:pt idx="33">
                  <c:v>2480.494677683776</c:v>
                </c:pt>
                <c:pt idx="34">
                  <c:v>2593.3871546611886</c:v>
                </c:pt>
                <c:pt idx="35">
                  <c:v>2706.2796316386011</c:v>
                </c:pt>
                <c:pt idx="36">
                  <c:v>2819.1721086160137</c:v>
                </c:pt>
                <c:pt idx="37">
                  <c:v>2932.0645855934263</c:v>
                </c:pt>
                <c:pt idx="38">
                  <c:v>3044.9570625708388</c:v>
                </c:pt>
                <c:pt idx="39">
                  <c:v>3157.8495395482514</c:v>
                </c:pt>
                <c:pt idx="40">
                  <c:v>3362.2035245605489</c:v>
                </c:pt>
                <c:pt idx="41">
                  <c:v>3566.5575095728464</c:v>
                </c:pt>
                <c:pt idx="42">
                  <c:v>3770.9114945851438</c:v>
                </c:pt>
                <c:pt idx="43">
                  <c:v>3975.2654795974413</c:v>
                </c:pt>
                <c:pt idx="44">
                  <c:v>4179.6194646097392</c:v>
                </c:pt>
                <c:pt idx="45">
                  <c:v>4383.9734496220362</c:v>
                </c:pt>
                <c:pt idx="46">
                  <c:v>4588.3274346343333</c:v>
                </c:pt>
                <c:pt idx="47">
                  <c:v>4792.6814196466303</c:v>
                </c:pt>
                <c:pt idx="48">
                  <c:v>4997.0354046589273</c:v>
                </c:pt>
                <c:pt idx="49">
                  <c:v>5201.3893896712243</c:v>
                </c:pt>
                <c:pt idx="50">
                  <c:v>5405.7433746835213</c:v>
                </c:pt>
                <c:pt idx="51">
                  <c:v>5610.0973596958183</c:v>
                </c:pt>
                <c:pt idx="52">
                  <c:v>5814.4513447081154</c:v>
                </c:pt>
                <c:pt idx="53">
                  <c:v>6018.8053297204124</c:v>
                </c:pt>
                <c:pt idx="54">
                  <c:v>6223.1593147327094</c:v>
                </c:pt>
                <c:pt idx="55">
                  <c:v>6427.5132997450064</c:v>
                </c:pt>
                <c:pt idx="56">
                  <c:v>6631.8672847573034</c:v>
                </c:pt>
                <c:pt idx="57">
                  <c:v>6836.2212697696004</c:v>
                </c:pt>
                <c:pt idx="58">
                  <c:v>7040.5752547818975</c:v>
                </c:pt>
                <c:pt idx="59">
                  <c:v>7244.9292397941945</c:v>
                </c:pt>
                <c:pt idx="60">
                  <c:v>7357.8217167716066</c:v>
                </c:pt>
                <c:pt idx="61">
                  <c:v>7470.7141937490196</c:v>
                </c:pt>
                <c:pt idx="62">
                  <c:v>7583.6066707264326</c:v>
                </c:pt>
                <c:pt idx="63">
                  <c:v>7696.4991477038457</c:v>
                </c:pt>
                <c:pt idx="64">
                  <c:v>7809.3916246812587</c:v>
                </c:pt>
                <c:pt idx="65">
                  <c:v>7922.2841016586717</c:v>
                </c:pt>
                <c:pt idx="66">
                  <c:v>8035.1765786360847</c:v>
                </c:pt>
                <c:pt idx="67">
                  <c:v>8148.0690556134978</c:v>
                </c:pt>
                <c:pt idx="68">
                  <c:v>8260.9615325909108</c:v>
                </c:pt>
                <c:pt idx="69">
                  <c:v>8373.8540095683238</c:v>
                </c:pt>
                <c:pt idx="70">
                  <c:v>8486.7464865457368</c:v>
                </c:pt>
                <c:pt idx="71">
                  <c:v>8599.6389635231499</c:v>
                </c:pt>
                <c:pt idx="72">
                  <c:v>8712.5314405005629</c:v>
                </c:pt>
                <c:pt idx="73">
                  <c:v>8825.4239174779759</c:v>
                </c:pt>
                <c:pt idx="74">
                  <c:v>8938.3163944553889</c:v>
                </c:pt>
                <c:pt idx="75">
                  <c:v>9051.208871432802</c:v>
                </c:pt>
                <c:pt idx="76">
                  <c:v>9164.101348410215</c:v>
                </c:pt>
                <c:pt idx="77">
                  <c:v>9276.993825387628</c:v>
                </c:pt>
                <c:pt idx="78">
                  <c:v>9389.886302365041</c:v>
                </c:pt>
                <c:pt idx="79">
                  <c:v>9502.7787793424541</c:v>
                </c:pt>
              </c:numCache>
            </c:numRef>
          </c:xVal>
          <c:yVal>
            <c:numRef>
              <c:f>'3DTraj'!$AY$15:$AY$95</c:f>
              <c:numCache>
                <c:formatCode>General</c:formatCode>
                <c:ptCount val="81"/>
                <c:pt idx="0">
                  <c:v>258192.3771929511</c:v>
                </c:pt>
                <c:pt idx="1">
                  <c:v>257285.6271929511</c:v>
                </c:pt>
                <c:pt idx="2">
                  <c:v>256378.8771929511</c:v>
                </c:pt>
                <c:pt idx="3">
                  <c:v>255472.1271929511</c:v>
                </c:pt>
                <c:pt idx="4">
                  <c:v>254565.3771929511</c:v>
                </c:pt>
                <c:pt idx="5">
                  <c:v>253658.6271929511</c:v>
                </c:pt>
                <c:pt idx="6">
                  <c:v>252751.8771929511</c:v>
                </c:pt>
                <c:pt idx="7">
                  <c:v>251845.1271929511</c:v>
                </c:pt>
                <c:pt idx="8">
                  <c:v>250938.3771929511</c:v>
                </c:pt>
                <c:pt idx="9">
                  <c:v>250031.6271929511</c:v>
                </c:pt>
                <c:pt idx="10">
                  <c:v>249124.8771929511</c:v>
                </c:pt>
                <c:pt idx="11">
                  <c:v>248218.1271929511</c:v>
                </c:pt>
                <c:pt idx="12">
                  <c:v>247311.3771929511</c:v>
                </c:pt>
                <c:pt idx="13">
                  <c:v>246404.6271929511</c:v>
                </c:pt>
                <c:pt idx="14">
                  <c:v>245497.8771929511</c:v>
                </c:pt>
                <c:pt idx="15">
                  <c:v>244591.1271929511</c:v>
                </c:pt>
                <c:pt idx="16">
                  <c:v>243684.3771929511</c:v>
                </c:pt>
                <c:pt idx="17">
                  <c:v>242777.6271929511</c:v>
                </c:pt>
                <c:pt idx="18">
                  <c:v>241870.8771929511</c:v>
                </c:pt>
                <c:pt idx="19">
                  <c:v>240964.1271929511</c:v>
                </c:pt>
                <c:pt idx="20">
                  <c:v>240057.37756838804</c:v>
                </c:pt>
                <c:pt idx="21">
                  <c:v>226483.46650047199</c:v>
                </c:pt>
                <c:pt idx="22">
                  <c:v>220488.81187503095</c:v>
                </c:pt>
                <c:pt idx="23">
                  <c:v>214604.39829898207</c:v>
                </c:pt>
                <c:pt idx="24">
                  <c:v>208829.38103077465</c:v>
                </c:pt>
                <c:pt idx="25">
                  <c:v>203162.91534943503</c:v>
                </c:pt>
                <c:pt idx="26">
                  <c:v>197604.15655483239</c:v>
                </c:pt>
                <c:pt idx="27">
                  <c:v>192152.25996794328</c:v>
                </c:pt>
                <c:pt idx="28">
                  <c:v>186806.38093111449</c:v>
                </c:pt>
                <c:pt idx="29">
                  <c:v>181565.67480832423</c:v>
                </c:pt>
                <c:pt idx="30">
                  <c:v>176429.29698544179</c:v>
                </c:pt>
                <c:pt idx="31">
                  <c:v>171396.40287048547</c:v>
                </c:pt>
                <c:pt idx="32">
                  <c:v>166466.14789387898</c:v>
                </c:pt>
                <c:pt idx="33">
                  <c:v>161637.68750870595</c:v>
                </c:pt>
                <c:pt idx="34">
                  <c:v>156910.17719096257</c:v>
                </c:pt>
                <c:pt idx="35">
                  <c:v>152282.77243980826</c:v>
                </c:pt>
                <c:pt idx="36">
                  <c:v>147754.6287778141</c:v>
                </c:pt>
                <c:pt idx="37">
                  <c:v>143324.9017512087</c:v>
                </c:pt>
                <c:pt idx="38">
                  <c:v>138992.74693012136</c:v>
                </c:pt>
                <c:pt idx="39">
                  <c:v>134757.31990882172</c:v>
                </c:pt>
                <c:pt idx="40">
                  <c:v>131561.15115201223</c:v>
                </c:pt>
                <c:pt idx="41">
                  <c:v>127394.7273534441</c:v>
                </c:pt>
                <c:pt idx="42">
                  <c:v>123228.94899883059</c:v>
                </c:pt>
                <c:pt idx="43">
                  <c:v>119063.8033732756</c:v>
                </c:pt>
                <c:pt idx="44">
                  <c:v>114899.27729593794</c:v>
                </c:pt>
                <c:pt idx="45">
                  <c:v>110735.35710653914</c:v>
                </c:pt>
                <c:pt idx="46">
                  <c:v>106572.0286523379</c:v>
                </c:pt>
                <c:pt idx="47">
                  <c:v>102409.27727571341</c:v>
                </c:pt>
                <c:pt idx="48">
                  <c:v>98247.087802514099</c:v>
                </c:pt>
                <c:pt idx="49">
                  <c:v>94085.444531341564</c:v>
                </c:pt>
                <c:pt idx="50">
                  <c:v>89924.33122395254</c:v>
                </c:pt>
                <c:pt idx="51">
                  <c:v>85763.731096973686</c:v>
                </c:pt>
                <c:pt idx="52">
                  <c:v>81603.626815134412</c:v>
                </c:pt>
                <c:pt idx="53">
                  <c:v>77444.000486231424</c:v>
                </c:pt>
                <c:pt idx="54">
                  <c:v>73284.833658044226</c:v>
                </c:pt>
                <c:pt idx="55">
                  <c:v>69126.107317423666</c:v>
                </c:pt>
                <c:pt idx="56">
                  <c:v>64967.801891773845</c:v>
                </c:pt>
                <c:pt idx="57">
                  <c:v>60809.89725314184</c:v>
                </c:pt>
                <c:pt idx="58">
                  <c:v>56652.372725118919</c:v>
                </c:pt>
                <c:pt idx="59">
                  <c:v>52495.20709273954</c:v>
                </c:pt>
                <c:pt idx="60">
                  <c:v>47967.303145231992</c:v>
                </c:pt>
                <c:pt idx="61">
                  <c:v>47965.481761498937</c:v>
                </c:pt>
                <c:pt idx="62">
                  <c:v>47963.654739163161</c:v>
                </c:pt>
                <c:pt idx="63">
                  <c:v>47961.82208227746</c:v>
                </c:pt>
                <c:pt idx="64">
                  <c:v>47959.983794911059</c:v>
                </c:pt>
                <c:pt idx="65">
                  <c:v>47958.139881149684</c:v>
                </c:pt>
                <c:pt idx="66">
                  <c:v>47956.2903450956</c:v>
                </c:pt>
                <c:pt idx="67">
                  <c:v>47954.43519086764</c:v>
                </c:pt>
                <c:pt idx="68">
                  <c:v>47952.574422601327</c:v>
                </c:pt>
                <c:pt idx="69">
                  <c:v>47950.708044448897</c:v>
                </c:pt>
                <c:pt idx="70">
                  <c:v>47948.836060579328</c:v>
                </c:pt>
                <c:pt idx="71">
                  <c:v>47946.958475178508</c:v>
                </c:pt>
                <c:pt idx="72">
                  <c:v>47945.075292449161</c:v>
                </c:pt>
                <c:pt idx="73">
                  <c:v>47943.186516611029</c:v>
                </c:pt>
                <c:pt idx="74">
                  <c:v>47941.292151900852</c:v>
                </c:pt>
                <c:pt idx="75">
                  <c:v>47939.392202572497</c:v>
                </c:pt>
                <c:pt idx="76">
                  <c:v>47937.486672896994</c:v>
                </c:pt>
                <c:pt idx="77">
                  <c:v>47935.57556716261</c:v>
                </c:pt>
                <c:pt idx="78">
                  <c:v>47933.658889674909</c:v>
                </c:pt>
                <c:pt idx="79">
                  <c:v>45000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4B-49BF-9708-A5C037F5C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929935"/>
        <c:axId val="1665932015"/>
      </c:scatterChart>
      <c:valAx>
        <c:axId val="1665929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Measured Depth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932015"/>
        <c:crosses val="autoZero"/>
        <c:crossBetween val="midCat"/>
      </c:valAx>
      <c:valAx>
        <c:axId val="1665932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F2 (lbf)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929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Measured</a:t>
            </a:r>
            <a:r>
              <a:rPr lang="en-US" baseline="0"/>
              <a:t> Depth </a:t>
            </a:r>
            <a:r>
              <a:rPr lang="en-US"/>
              <a:t>vs Torque in 3D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3DvsF2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'3DTraj'!$AO$15:$AO$95</c:f>
              <c:numCache>
                <c:formatCode>General</c:formatCode>
                <c:ptCount val="81"/>
                <c:pt idx="0">
                  <c:v>45</c:v>
                </c:pt>
                <c:pt idx="1">
                  <c:v>90</c:v>
                </c:pt>
                <c:pt idx="2">
                  <c:v>135</c:v>
                </c:pt>
                <c:pt idx="3">
                  <c:v>180</c:v>
                </c:pt>
                <c:pt idx="4">
                  <c:v>225</c:v>
                </c:pt>
                <c:pt idx="5">
                  <c:v>270</c:v>
                </c:pt>
                <c:pt idx="6">
                  <c:v>315</c:v>
                </c:pt>
                <c:pt idx="7">
                  <c:v>360</c:v>
                </c:pt>
                <c:pt idx="8">
                  <c:v>405</c:v>
                </c:pt>
                <c:pt idx="9">
                  <c:v>450</c:v>
                </c:pt>
                <c:pt idx="10">
                  <c:v>495</c:v>
                </c:pt>
                <c:pt idx="11">
                  <c:v>540</c:v>
                </c:pt>
                <c:pt idx="12">
                  <c:v>585</c:v>
                </c:pt>
                <c:pt idx="13">
                  <c:v>630</c:v>
                </c:pt>
                <c:pt idx="14">
                  <c:v>675</c:v>
                </c:pt>
                <c:pt idx="15">
                  <c:v>720</c:v>
                </c:pt>
                <c:pt idx="16">
                  <c:v>765</c:v>
                </c:pt>
                <c:pt idx="17">
                  <c:v>810</c:v>
                </c:pt>
                <c:pt idx="18">
                  <c:v>855</c:v>
                </c:pt>
                <c:pt idx="19">
                  <c:v>900</c:v>
                </c:pt>
                <c:pt idx="20">
                  <c:v>1012.8924769774126</c:v>
                </c:pt>
                <c:pt idx="21">
                  <c:v>1125.7849539548251</c:v>
                </c:pt>
                <c:pt idx="22">
                  <c:v>1238.6774309322377</c:v>
                </c:pt>
                <c:pt idx="23">
                  <c:v>1351.5699079096503</c:v>
                </c:pt>
                <c:pt idx="24">
                  <c:v>1464.4623848870629</c:v>
                </c:pt>
                <c:pt idx="25">
                  <c:v>1577.3548618644754</c:v>
                </c:pt>
                <c:pt idx="26">
                  <c:v>1690.247338841888</c:v>
                </c:pt>
                <c:pt idx="27">
                  <c:v>1803.1398158193006</c:v>
                </c:pt>
                <c:pt idx="28">
                  <c:v>1916.0322927967131</c:v>
                </c:pt>
                <c:pt idx="29">
                  <c:v>2028.9247697741257</c:v>
                </c:pt>
                <c:pt idx="30">
                  <c:v>2141.8172467515383</c:v>
                </c:pt>
                <c:pt idx="31">
                  <c:v>2254.7097237289508</c:v>
                </c:pt>
                <c:pt idx="32">
                  <c:v>2367.6022007063634</c:v>
                </c:pt>
                <c:pt idx="33">
                  <c:v>2480.494677683776</c:v>
                </c:pt>
                <c:pt idx="34">
                  <c:v>2593.3871546611886</c:v>
                </c:pt>
                <c:pt idx="35">
                  <c:v>2706.2796316386011</c:v>
                </c:pt>
                <c:pt idx="36">
                  <c:v>2819.1721086160137</c:v>
                </c:pt>
                <c:pt idx="37">
                  <c:v>2932.0645855934263</c:v>
                </c:pt>
                <c:pt idx="38">
                  <c:v>3044.9570625708388</c:v>
                </c:pt>
                <c:pt idx="39">
                  <c:v>3157.8495395482514</c:v>
                </c:pt>
                <c:pt idx="40">
                  <c:v>3362.2035245605489</c:v>
                </c:pt>
                <c:pt idx="41">
                  <c:v>3566.5575095728464</c:v>
                </c:pt>
                <c:pt idx="42">
                  <c:v>3770.9114945851438</c:v>
                </c:pt>
                <c:pt idx="43">
                  <c:v>3975.2654795974413</c:v>
                </c:pt>
                <c:pt idx="44">
                  <c:v>4179.6194646097392</c:v>
                </c:pt>
                <c:pt idx="45">
                  <c:v>4383.9734496220362</c:v>
                </c:pt>
                <c:pt idx="46">
                  <c:v>4588.3274346343333</c:v>
                </c:pt>
                <c:pt idx="47">
                  <c:v>4792.6814196466303</c:v>
                </c:pt>
                <c:pt idx="48">
                  <c:v>4997.0354046589273</c:v>
                </c:pt>
                <c:pt idx="49">
                  <c:v>5201.3893896712243</c:v>
                </c:pt>
                <c:pt idx="50">
                  <c:v>5405.7433746835213</c:v>
                </c:pt>
                <c:pt idx="51">
                  <c:v>5610.0973596958183</c:v>
                </c:pt>
                <c:pt idx="52">
                  <c:v>5814.4513447081154</c:v>
                </c:pt>
                <c:pt idx="53">
                  <c:v>6018.8053297204124</c:v>
                </c:pt>
                <c:pt idx="54">
                  <c:v>6223.1593147327094</c:v>
                </c:pt>
                <c:pt idx="55">
                  <c:v>6427.5132997450064</c:v>
                </c:pt>
                <c:pt idx="56">
                  <c:v>6631.8672847573034</c:v>
                </c:pt>
                <c:pt idx="57">
                  <c:v>6836.2212697696004</c:v>
                </c:pt>
                <c:pt idx="58">
                  <c:v>7040.5752547818975</c:v>
                </c:pt>
                <c:pt idx="59">
                  <c:v>7244.9292397941945</c:v>
                </c:pt>
                <c:pt idx="60">
                  <c:v>7357.8217167716066</c:v>
                </c:pt>
                <c:pt idx="61">
                  <c:v>7470.7141937490196</c:v>
                </c:pt>
                <c:pt idx="62">
                  <c:v>7583.6066707264326</c:v>
                </c:pt>
                <c:pt idx="63">
                  <c:v>7696.4991477038457</c:v>
                </c:pt>
                <c:pt idx="64">
                  <c:v>7809.3916246812587</c:v>
                </c:pt>
                <c:pt idx="65">
                  <c:v>7922.2841016586717</c:v>
                </c:pt>
                <c:pt idx="66">
                  <c:v>8035.1765786360847</c:v>
                </c:pt>
                <c:pt idx="67">
                  <c:v>8148.0690556134978</c:v>
                </c:pt>
                <c:pt idx="68">
                  <c:v>8260.9615325909108</c:v>
                </c:pt>
                <c:pt idx="69">
                  <c:v>8373.8540095683238</c:v>
                </c:pt>
                <c:pt idx="70">
                  <c:v>8486.7464865457368</c:v>
                </c:pt>
                <c:pt idx="71">
                  <c:v>8599.6389635231499</c:v>
                </c:pt>
                <c:pt idx="72">
                  <c:v>8712.5314405005629</c:v>
                </c:pt>
                <c:pt idx="73">
                  <c:v>8825.4239174779759</c:v>
                </c:pt>
                <c:pt idx="74">
                  <c:v>8938.3163944553889</c:v>
                </c:pt>
                <c:pt idx="75">
                  <c:v>9051.208871432802</c:v>
                </c:pt>
                <c:pt idx="76">
                  <c:v>9164.101348410215</c:v>
                </c:pt>
                <c:pt idx="77">
                  <c:v>9276.993825387628</c:v>
                </c:pt>
                <c:pt idx="78">
                  <c:v>9389.886302365041</c:v>
                </c:pt>
                <c:pt idx="79">
                  <c:v>9502.7787793424541</c:v>
                </c:pt>
              </c:numCache>
            </c:numRef>
          </c:xVal>
          <c:yVal>
            <c:numRef>
              <c:f>'3DTraj'!$AZ$15:$AZ$95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1016918.7959883504</c:v>
                </c:pt>
                <c:pt idx="21">
                  <c:v>334786.79252462235</c:v>
                </c:pt>
                <c:pt idx="22">
                  <c:v>324864.02615832526</c:v>
                </c:pt>
                <c:pt idx="23">
                  <c:v>315017.15854540595</c:v>
                </c:pt>
                <c:pt idx="24">
                  <c:v>305246.25891933707</c:v>
                </c:pt>
                <c:pt idx="25">
                  <c:v>295551.3953485727</c:v>
                </c:pt>
                <c:pt idx="26">
                  <c:v>285932.63473646675</c:v>
                </c:pt>
                <c:pt idx="27">
                  <c:v>276390.04282118782</c:v>
                </c:pt>
                <c:pt idx="28">
                  <c:v>266923.68417565414</c:v>
                </c:pt>
                <c:pt idx="29">
                  <c:v>257533.62220747213</c:v>
                </c:pt>
                <c:pt idx="30">
                  <c:v>248219.9191588801</c:v>
                </c:pt>
                <c:pt idx="31">
                  <c:v>238982.63610672229</c:v>
                </c:pt>
                <c:pt idx="32">
                  <c:v>229821.83296241265</c:v>
                </c:pt>
                <c:pt idx="33">
                  <c:v>220737.56847194393</c:v>
                </c:pt>
                <c:pt idx="34">
                  <c:v>211729.90021589131</c:v>
                </c:pt>
                <c:pt idx="35">
                  <c:v>202798.88460946185</c:v>
                </c:pt>
                <c:pt idx="36">
                  <c:v>193944.5769025693</c:v>
                </c:pt>
                <c:pt idx="37">
                  <c:v>185167.03117994737</c:v>
                </c:pt>
                <c:pt idx="38">
                  <c:v>176466.30036131895</c:v>
                </c:pt>
                <c:pt idx="39">
                  <c:v>74349.806583374884</c:v>
                </c:pt>
                <c:pt idx="40">
                  <c:v>4563.9967765462015</c:v>
                </c:pt>
                <c:pt idx="41">
                  <c:v>4505.935680598518</c:v>
                </c:pt>
                <c:pt idx="42">
                  <c:v>4449.0183567704989</c:v>
                </c:pt>
                <c:pt idx="43">
                  <c:v>4393.2867192931499</c:v>
                </c:pt>
                <c:pt idx="44">
                  <c:v>4338.7838960778772</c:v>
                </c:pt>
                <c:pt idx="45">
                  <c:v>4285.5541867654301</c:v>
                </c:pt>
                <c:pt idx="46">
                  <c:v>4233.6430079334987</c:v>
                </c:pt>
                <c:pt idx="47">
                  <c:v>4183.0968242551744</c:v>
                </c:pt>
                <c:pt idx="48">
                  <c:v>4133.9630643709506</c:v>
                </c:pt>
                <c:pt idx="49">
                  <c:v>4086.2900203147537</c:v>
                </c:pt>
                <c:pt idx="50">
                  <c:v>4040.1267294186587</c:v>
                </c:pt>
                <c:pt idx="51">
                  <c:v>3995.5228377567137</c:v>
                </c:pt>
                <c:pt idx="52">
                  <c:v>3952.5284443722271</c:v>
                </c:pt>
                <c:pt idx="53">
                  <c:v>3911.1939257701342</c:v>
                </c:pt>
                <c:pt idx="54">
                  <c:v>3871.5697404499256</c:v>
                </c:pt>
                <c:pt idx="55">
                  <c:v>3833.7062136064465</c:v>
                </c:pt>
                <c:pt idx="56">
                  <c:v>3797.6533025348826</c:v>
                </c:pt>
                <c:pt idx="57">
                  <c:v>3763.4603437387659</c:v>
                </c:pt>
                <c:pt idx="58">
                  <c:v>3731.1757832489939</c:v>
                </c:pt>
                <c:pt idx="59">
                  <c:v>37081.953339441447</c:v>
                </c:pt>
                <c:pt idx="60">
                  <c:v>62392.011752696453</c:v>
                </c:pt>
                <c:pt idx="61">
                  <c:v>62221.538212692358</c:v>
                </c:pt>
                <c:pt idx="62">
                  <c:v>62050.895839752811</c:v>
                </c:pt>
                <c:pt idx="63">
                  <c:v>61880.086305528886</c:v>
                </c:pt>
                <c:pt idx="64">
                  <c:v>61709.111282386162</c:v>
                </c:pt>
                <c:pt idx="65">
                  <c:v>61537.972443396218</c:v>
                </c:pt>
                <c:pt idx="66">
                  <c:v>61366.671462324812</c:v>
                </c:pt>
                <c:pt idx="67">
                  <c:v>61195.210013623117</c:v>
                </c:pt>
                <c:pt idx="68">
                  <c:v>61023.589772418927</c:v>
                </c:pt>
                <c:pt idx="69">
                  <c:v>60851.81241450581</c:v>
                </c:pt>
                <c:pt idx="70">
                  <c:v>60679.879616334722</c:v>
                </c:pt>
                <c:pt idx="71">
                  <c:v>60507.793055003327</c:v>
                </c:pt>
                <c:pt idx="72">
                  <c:v>60335.554408247895</c:v>
                </c:pt>
                <c:pt idx="73">
                  <c:v>60163.165354433819</c:v>
                </c:pt>
                <c:pt idx="74">
                  <c:v>59990.627572545884</c:v>
                </c:pt>
                <c:pt idx="75">
                  <c:v>59817.942742179926</c:v>
                </c:pt>
                <c:pt idx="76">
                  <c:v>59645.112543533745</c:v>
                </c:pt>
                <c:pt idx="77">
                  <c:v>59472.138657398064</c:v>
                </c:pt>
                <c:pt idx="78">
                  <c:v>59299.022765148133</c:v>
                </c:pt>
                <c:pt idx="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E6-4251-84BD-AF6E4D2BD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929935"/>
        <c:axId val="1665932015"/>
      </c:scatterChart>
      <c:valAx>
        <c:axId val="1665929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Measured Depth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932015"/>
        <c:crosses val="autoZero"/>
        <c:crossBetween val="midCat"/>
      </c:valAx>
      <c:valAx>
        <c:axId val="1665932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(ft-lbs)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929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Measured</a:t>
            </a:r>
            <a:r>
              <a:rPr lang="en-US" baseline="0"/>
              <a:t> Depth </a:t>
            </a:r>
            <a:r>
              <a:rPr lang="en-US"/>
              <a:t>vs Buckl</a:t>
            </a:r>
            <a:r>
              <a:rPr lang="en-US" baseline="0"/>
              <a:t>ing</a:t>
            </a:r>
            <a:r>
              <a:rPr lang="en-US"/>
              <a:t> in 3D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3DvsF2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'3DTraj'!$AO$15:$AO$95</c:f>
              <c:numCache>
                <c:formatCode>General</c:formatCode>
                <c:ptCount val="81"/>
                <c:pt idx="0">
                  <c:v>45</c:v>
                </c:pt>
                <c:pt idx="1">
                  <c:v>90</c:v>
                </c:pt>
                <c:pt idx="2">
                  <c:v>135</c:v>
                </c:pt>
                <c:pt idx="3">
                  <c:v>180</c:v>
                </c:pt>
                <c:pt idx="4">
                  <c:v>225</c:v>
                </c:pt>
                <c:pt idx="5">
                  <c:v>270</c:v>
                </c:pt>
                <c:pt idx="6">
                  <c:v>315</c:v>
                </c:pt>
                <c:pt idx="7">
                  <c:v>360</c:v>
                </c:pt>
                <c:pt idx="8">
                  <c:v>405</c:v>
                </c:pt>
                <c:pt idx="9">
                  <c:v>450</c:v>
                </c:pt>
                <c:pt idx="10">
                  <c:v>495</c:v>
                </c:pt>
                <c:pt idx="11">
                  <c:v>540</c:v>
                </c:pt>
                <c:pt idx="12">
                  <c:v>585</c:v>
                </c:pt>
                <c:pt idx="13">
                  <c:v>630</c:v>
                </c:pt>
                <c:pt idx="14">
                  <c:v>675</c:v>
                </c:pt>
                <c:pt idx="15">
                  <c:v>720</c:v>
                </c:pt>
                <c:pt idx="16">
                  <c:v>765</c:v>
                </c:pt>
                <c:pt idx="17">
                  <c:v>810</c:v>
                </c:pt>
                <c:pt idx="18">
                  <c:v>855</c:v>
                </c:pt>
                <c:pt idx="19">
                  <c:v>900</c:v>
                </c:pt>
                <c:pt idx="20">
                  <c:v>1012.8924769774126</c:v>
                </c:pt>
                <c:pt idx="21">
                  <c:v>1125.7849539548251</c:v>
                </c:pt>
                <c:pt idx="22">
                  <c:v>1238.6774309322377</c:v>
                </c:pt>
                <c:pt idx="23">
                  <c:v>1351.5699079096503</c:v>
                </c:pt>
                <c:pt idx="24">
                  <c:v>1464.4623848870629</c:v>
                </c:pt>
                <c:pt idx="25">
                  <c:v>1577.3548618644754</c:v>
                </c:pt>
                <c:pt idx="26">
                  <c:v>1690.247338841888</c:v>
                </c:pt>
                <c:pt idx="27">
                  <c:v>1803.1398158193006</c:v>
                </c:pt>
                <c:pt idx="28">
                  <c:v>1916.0322927967131</c:v>
                </c:pt>
                <c:pt idx="29">
                  <c:v>2028.9247697741257</c:v>
                </c:pt>
                <c:pt idx="30">
                  <c:v>2141.8172467515383</c:v>
                </c:pt>
                <c:pt idx="31">
                  <c:v>2254.7097237289508</c:v>
                </c:pt>
                <c:pt idx="32">
                  <c:v>2367.6022007063634</c:v>
                </c:pt>
                <c:pt idx="33">
                  <c:v>2480.494677683776</c:v>
                </c:pt>
                <c:pt idx="34">
                  <c:v>2593.3871546611886</c:v>
                </c:pt>
                <c:pt idx="35">
                  <c:v>2706.2796316386011</c:v>
                </c:pt>
                <c:pt idx="36">
                  <c:v>2819.1721086160137</c:v>
                </c:pt>
                <c:pt idx="37">
                  <c:v>2932.0645855934263</c:v>
                </c:pt>
                <c:pt idx="38">
                  <c:v>3044.9570625708388</c:v>
                </c:pt>
                <c:pt idx="39">
                  <c:v>3157.8495395482514</c:v>
                </c:pt>
                <c:pt idx="40">
                  <c:v>3362.2035245605489</c:v>
                </c:pt>
                <c:pt idx="41">
                  <c:v>3566.5575095728464</c:v>
                </c:pt>
                <c:pt idx="42">
                  <c:v>3770.9114945851438</c:v>
                </c:pt>
                <c:pt idx="43">
                  <c:v>3975.2654795974413</c:v>
                </c:pt>
                <c:pt idx="44">
                  <c:v>4179.6194646097392</c:v>
                </c:pt>
                <c:pt idx="45">
                  <c:v>4383.9734496220362</c:v>
                </c:pt>
                <c:pt idx="46">
                  <c:v>4588.3274346343333</c:v>
                </c:pt>
                <c:pt idx="47">
                  <c:v>4792.6814196466303</c:v>
                </c:pt>
                <c:pt idx="48">
                  <c:v>4997.0354046589273</c:v>
                </c:pt>
                <c:pt idx="49">
                  <c:v>5201.3893896712243</c:v>
                </c:pt>
                <c:pt idx="50">
                  <c:v>5405.7433746835213</c:v>
                </c:pt>
                <c:pt idx="51">
                  <c:v>5610.0973596958183</c:v>
                </c:pt>
                <c:pt idx="52">
                  <c:v>5814.4513447081154</c:v>
                </c:pt>
                <c:pt idx="53">
                  <c:v>6018.8053297204124</c:v>
                </c:pt>
                <c:pt idx="54">
                  <c:v>6223.1593147327094</c:v>
                </c:pt>
                <c:pt idx="55">
                  <c:v>6427.5132997450064</c:v>
                </c:pt>
                <c:pt idx="56">
                  <c:v>6631.8672847573034</c:v>
                </c:pt>
                <c:pt idx="57">
                  <c:v>6836.2212697696004</c:v>
                </c:pt>
                <c:pt idx="58">
                  <c:v>7040.5752547818975</c:v>
                </c:pt>
                <c:pt idx="59">
                  <c:v>7244.9292397941945</c:v>
                </c:pt>
                <c:pt idx="60">
                  <c:v>7357.8217167716066</c:v>
                </c:pt>
                <c:pt idx="61">
                  <c:v>7470.7141937490196</c:v>
                </c:pt>
                <c:pt idx="62">
                  <c:v>7583.6066707264326</c:v>
                </c:pt>
                <c:pt idx="63">
                  <c:v>7696.4991477038457</c:v>
                </c:pt>
                <c:pt idx="64">
                  <c:v>7809.3916246812587</c:v>
                </c:pt>
                <c:pt idx="65">
                  <c:v>7922.2841016586717</c:v>
                </c:pt>
                <c:pt idx="66">
                  <c:v>8035.1765786360847</c:v>
                </c:pt>
                <c:pt idx="67">
                  <c:v>8148.0690556134978</c:v>
                </c:pt>
                <c:pt idx="68">
                  <c:v>8260.9615325909108</c:v>
                </c:pt>
                <c:pt idx="69">
                  <c:v>8373.8540095683238</c:v>
                </c:pt>
                <c:pt idx="70">
                  <c:v>8486.7464865457368</c:v>
                </c:pt>
                <c:pt idx="71">
                  <c:v>8599.6389635231499</c:v>
                </c:pt>
                <c:pt idx="72">
                  <c:v>8712.5314405005629</c:v>
                </c:pt>
                <c:pt idx="73">
                  <c:v>8825.4239174779759</c:v>
                </c:pt>
                <c:pt idx="74">
                  <c:v>8938.3163944553889</c:v>
                </c:pt>
                <c:pt idx="75">
                  <c:v>9051.208871432802</c:v>
                </c:pt>
                <c:pt idx="76">
                  <c:v>9164.101348410215</c:v>
                </c:pt>
                <c:pt idx="77">
                  <c:v>9276.993825387628</c:v>
                </c:pt>
                <c:pt idx="78">
                  <c:v>9389.886302365041</c:v>
                </c:pt>
                <c:pt idx="79">
                  <c:v>9502.7787793424541</c:v>
                </c:pt>
              </c:numCache>
            </c:numRef>
          </c:xVal>
          <c:yVal>
            <c:numRef>
              <c:f>'3DTraj'!$BA$15:$BA$95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1269649.8510069896</c:v>
                </c:pt>
                <c:pt idx="21">
                  <c:v>728494.14550360444</c:v>
                </c:pt>
                <c:pt idx="22">
                  <c:v>717619.67493189103</c:v>
                </c:pt>
                <c:pt idx="23">
                  <c:v>706663.70946894889</c:v>
                </c:pt>
                <c:pt idx="24">
                  <c:v>695622.39640739048</c:v>
                </c:pt>
                <c:pt idx="25">
                  <c:v>684491.60343731439</c:v>
                </c:pt>
                <c:pt idx="26">
                  <c:v>673266.89034584141</c:v>
                </c:pt>
                <c:pt idx="27">
                  <c:v>661943.47696842847</c:v>
                </c:pt>
                <c:pt idx="28">
                  <c:v>650516.20676994906</c:v>
                </c:pt>
                <c:pt idx="29">
                  <c:v>638979.50530807022</c:v>
                </c:pt>
                <c:pt idx="30">
                  <c:v>627327.33267589076</c:v>
                </c:pt>
                <c:pt idx="31">
                  <c:v>615553.12882670399</c:v>
                </c:pt>
                <c:pt idx="32">
                  <c:v>603649.75043993734</c:v>
                </c:pt>
                <c:pt idx="33">
                  <c:v>591609.39767884219</c:v>
                </c:pt>
                <c:pt idx="34">
                  <c:v>579423.52879725851</c:v>
                </c:pt>
                <c:pt idx="35">
                  <c:v>567082.76004736905</c:v>
                </c:pt>
                <c:pt idx="36">
                  <c:v>554576.74768508563</c:v>
                </c:pt>
                <c:pt idx="37">
                  <c:v>541894.04801223474</c:v>
                </c:pt>
                <c:pt idx="38">
                  <c:v>529021.95026127656</c:v>
                </c:pt>
                <c:pt idx="39">
                  <c:v>362784.08529580047</c:v>
                </c:pt>
                <c:pt idx="40">
                  <c:v>53174.598481726891</c:v>
                </c:pt>
                <c:pt idx="41">
                  <c:v>52835.284321214014</c:v>
                </c:pt>
                <c:pt idx="42">
                  <c:v>52500.525876496591</c:v>
                </c:pt>
                <c:pt idx="43">
                  <c:v>52170.659712886772</c:v>
                </c:pt>
                <c:pt idx="44">
                  <c:v>51846.036888976843</c:v>
                </c:pt>
                <c:pt idx="45">
                  <c:v>51527.022822589191</c:v>
                </c:pt>
                <c:pt idx="46">
                  <c:v>51213.997026783545</c:v>
                </c:pt>
                <c:pt idx="47">
                  <c:v>50907.352699804425</c:v>
                </c:pt>
                <c:pt idx="48">
                  <c:v>50607.496152308428</c:v>
                </c:pt>
                <c:pt idx="49">
                  <c:v>50314.846055483125</c:v>
                </c:pt>
                <c:pt idx="50">
                  <c:v>50029.832494198061</c:v>
                </c:pt>
                <c:pt idx="51">
                  <c:v>49752.89581043717</c:v>
                </c:pt>
                <c:pt idx="52">
                  <c:v>49484.485223979638</c:v>
                </c:pt>
                <c:pt idx="53">
                  <c:v>49225.057219702081</c:v>
                </c:pt>
                <c:pt idx="54">
                  <c:v>48975.073694030798</c:v>
                </c:pt>
                <c:pt idx="55">
                  <c:v>48734.999857020339</c:v>
                </c:pt>
                <c:pt idx="56">
                  <c:v>48505.301891286508</c:v>
                </c:pt>
                <c:pt idx="57">
                  <c:v>48286.444374555569</c:v>
                </c:pt>
                <c:pt idx="58">
                  <c:v>48078.887478840399</c:v>
                </c:pt>
                <c:pt idx="59">
                  <c:v>151568.01046077505</c:v>
                </c:pt>
                <c:pt idx="60">
                  <c:v>314555.32652511157</c:v>
                </c:pt>
                <c:pt idx="61">
                  <c:v>314118.27802656044</c:v>
                </c:pt>
                <c:pt idx="62">
                  <c:v>313680.62264498184</c:v>
                </c:pt>
                <c:pt idx="63">
                  <c:v>313242.35881545092</c:v>
                </c:pt>
                <c:pt idx="64">
                  <c:v>312803.48496127373</c:v>
                </c:pt>
                <c:pt idx="65">
                  <c:v>312363.99949388858</c:v>
                </c:pt>
                <c:pt idx="66">
                  <c:v>311923.90081276331</c:v>
                </c:pt>
                <c:pt idx="67">
                  <c:v>311483.18730529211</c:v>
                </c:pt>
                <c:pt idx="68">
                  <c:v>311041.85734669369</c:v>
                </c:pt>
                <c:pt idx="69">
                  <c:v>310599.90929990541</c:v>
                </c:pt>
                <c:pt idx="70">
                  <c:v>310157.34151547652</c:v>
                </c:pt>
                <c:pt idx="71">
                  <c:v>309714.15233146294</c:v>
                </c:pt>
                <c:pt idx="72">
                  <c:v>309270.34007331711</c:v>
                </c:pt>
                <c:pt idx="73">
                  <c:v>308825.9030537802</c:v>
                </c:pt>
                <c:pt idx="74">
                  <c:v>308380.83957277058</c:v>
                </c:pt>
                <c:pt idx="75">
                  <c:v>307935.14791727217</c:v>
                </c:pt>
                <c:pt idx="76">
                  <c:v>307488.82636122237</c:v>
                </c:pt>
                <c:pt idx="77">
                  <c:v>307041.87316539756</c:v>
                </c:pt>
                <c:pt idx="78">
                  <c:v>306594.28657729784</c:v>
                </c:pt>
                <c:pt idx="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7-45D1-9D1E-16C068EC7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929935"/>
        <c:axId val="1665932015"/>
      </c:scatterChart>
      <c:valAx>
        <c:axId val="1665929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Measured Depth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932015"/>
        <c:crosses val="autoZero"/>
        <c:crossBetween val="midCat"/>
      </c:valAx>
      <c:valAx>
        <c:axId val="1665932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Buckling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929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Burst and Collapse Design Lines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'3DTraj'!$C$124</c:f>
              <c:strCache>
                <c:ptCount val="1"/>
                <c:pt idx="0">
                  <c:v>Collapse Pressure (psi)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0216899092981451E-2"/>
                  <c:y val="-5.24833213313559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y = 1.9792x</a:t>
                    </a: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'3DTraj'!$C$125:$C$126</c:f>
              <c:numCache>
                <c:formatCode>0</c:formatCode>
                <c:ptCount val="2"/>
                <c:pt idx="0">
                  <c:v>0</c:v>
                </c:pt>
                <c:pt idx="1">
                  <c:v>5500</c:v>
                </c:pt>
              </c:numCache>
            </c:numRef>
          </c:xVal>
          <c:yVal>
            <c:numRef>
              <c:f>'3DTraj'!$B$125:$B$126</c:f>
              <c:numCache>
                <c:formatCode>General</c:formatCode>
                <c:ptCount val="2"/>
                <c:pt idx="0">
                  <c:v>0</c:v>
                </c:pt>
                <c:pt idx="1">
                  <c:v>9500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A5-40E0-916A-ACCF6ABEF871}"/>
            </c:ext>
          </c:extLst>
        </c:ser>
        <c:ser>
          <c:idx val="1"/>
          <c:order val="1"/>
          <c:tx>
            <c:strRef>
              <c:f>'3DTraj'!$D$124</c:f>
              <c:strCache>
                <c:ptCount val="1"/>
                <c:pt idx="0">
                  <c:v>Burst Pressure (psi)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2.3154840977726535E-2"/>
                  <c:y val="3.3953866166731607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y = -5.5882x + 29059</a:t>
                    </a: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'3DTraj'!$D$125:$D$126</c:f>
              <c:numCache>
                <c:formatCode>0</c:formatCode>
                <c:ptCount val="2"/>
                <c:pt idx="0">
                  <c:v>7000</c:v>
                </c:pt>
                <c:pt idx="1">
                  <c:v>3750</c:v>
                </c:pt>
              </c:numCache>
            </c:numRef>
          </c:xVal>
          <c:yVal>
            <c:numRef>
              <c:f>'3DTraj'!$B$125:$B$126</c:f>
              <c:numCache>
                <c:formatCode>General</c:formatCode>
                <c:ptCount val="2"/>
                <c:pt idx="0">
                  <c:v>0</c:v>
                </c:pt>
                <c:pt idx="1">
                  <c:v>9500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A5-40E0-916A-ACCF6ABEF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348799"/>
        <c:axId val="360359615"/>
      </c:scatterChart>
      <c:valAx>
        <c:axId val="36034879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(psi)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359615"/>
        <c:crosses val="autoZero"/>
        <c:crossBetween val="midCat"/>
      </c:valAx>
      <c:valAx>
        <c:axId val="360359615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348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3</xdr:row>
      <xdr:rowOff>203200</xdr:rowOff>
    </xdr:from>
    <xdr:to>
      <xdr:col>8</xdr:col>
      <xdr:colOff>514350</xdr:colOff>
      <xdr:row>6</xdr:row>
      <xdr:rowOff>114301</xdr:rowOff>
    </xdr:to>
    <xdr:sp macro="" textlink="">
      <xdr:nvSpPr>
        <xdr:cNvPr id="1059" name="StartButtom" hidden="1">
          <a:extLst>
            <a:ext uri="{63B3BB69-23CF-44E3-9099-C40C66FF867C}">
              <a14:compatExt xmlns:a14="http://schemas.microsoft.com/office/drawing/2010/main" spid="_x0000_s1059"/>
            </a:ex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215900</xdr:colOff>
      <xdr:row>0</xdr:row>
      <xdr:rowOff>139700</xdr:rowOff>
    </xdr:from>
    <xdr:to>
      <xdr:col>8</xdr:col>
      <xdr:colOff>400050</xdr:colOff>
      <xdr:row>3</xdr:row>
      <xdr:rowOff>44903</xdr:rowOff>
    </xdr:to>
    <xdr:sp macro="" textlink="">
      <xdr:nvSpPr>
        <xdr:cNvPr id="1060" name="CalcOutputs" hidden="1">
          <a:extLst>
            <a:ext uri="{63B3BB69-23CF-44E3-9099-C40C66FF867C}">
              <a14:compatExt xmlns:a14="http://schemas.microsoft.com/office/drawing/2010/main" spid="_x0000_s1060"/>
            </a:ex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774700</xdr:colOff>
      <xdr:row>7</xdr:row>
      <xdr:rowOff>127000</xdr:rowOff>
    </xdr:from>
    <xdr:to>
      <xdr:col>7</xdr:col>
      <xdr:colOff>547688</xdr:colOff>
      <xdr:row>10</xdr:row>
      <xdr:rowOff>177799</xdr:rowOff>
    </xdr:to>
    <xdr:sp macro="" textlink="">
      <xdr:nvSpPr>
        <xdr:cNvPr id="1061" name="CommandButton1" hidden="1">
          <a:extLst>
            <a:ext uri="{63B3BB69-23CF-44E3-9099-C40C66FF867C}">
              <a14:compatExt xmlns:a14="http://schemas.microsoft.com/office/drawing/2010/main" spid="_x0000_s1061"/>
            </a:ex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254000</xdr:colOff>
          <xdr:row>3</xdr:row>
          <xdr:rowOff>25400</xdr:rowOff>
        </xdr:from>
        <xdr:to>
          <xdr:col>11</xdr:col>
          <xdr:colOff>228600</xdr:colOff>
          <xdr:row>9</xdr:row>
          <xdr:rowOff>12700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CONTENTS 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(ALL)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825500</xdr:colOff>
          <xdr:row>3</xdr:row>
          <xdr:rowOff>25400</xdr:rowOff>
        </xdr:from>
        <xdr:to>
          <xdr:col>8</xdr:col>
          <xdr:colOff>825500</xdr:colOff>
          <xdr:row>9</xdr:row>
          <xdr:rowOff>25400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Part 1: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WELL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TRAJECTORY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561293</xdr:colOff>
      <xdr:row>17</xdr:row>
      <xdr:rowOff>102052</xdr:rowOff>
    </xdr:from>
    <xdr:to>
      <xdr:col>27</xdr:col>
      <xdr:colOff>1010331</xdr:colOff>
      <xdr:row>33</xdr:row>
      <xdr:rowOff>88445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18</xdr:col>
      <xdr:colOff>650080</xdr:colOff>
      <xdr:row>18</xdr:row>
      <xdr:rowOff>185737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7628393" y="42576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14</xdr:col>
      <xdr:colOff>629329</xdr:colOff>
      <xdr:row>37</xdr:row>
      <xdr:rowOff>39075</xdr:rowOff>
    </xdr:from>
    <xdr:to>
      <xdr:col>27</xdr:col>
      <xdr:colOff>1119602</xdr:colOff>
      <xdr:row>53</xdr:row>
      <xdr:rowOff>187778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663347</xdr:colOff>
      <xdr:row>58</xdr:row>
      <xdr:rowOff>86823</xdr:rowOff>
    </xdr:from>
    <xdr:to>
      <xdr:col>27</xdr:col>
      <xdr:colOff>1102080</xdr:colOff>
      <xdr:row>75</xdr:row>
      <xdr:rowOff>17689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25400</xdr:colOff>
          <xdr:row>7</xdr:row>
          <xdr:rowOff>25400</xdr:rowOff>
        </xdr:from>
        <xdr:to>
          <xdr:col>40</xdr:col>
          <xdr:colOff>1206500</xdr:colOff>
          <xdr:row>11</xdr:row>
          <xdr:rowOff>12700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Contents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(Drag and Torque only)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25400</xdr:colOff>
          <xdr:row>2</xdr:row>
          <xdr:rowOff>63500</xdr:rowOff>
        </xdr:from>
        <xdr:to>
          <xdr:col>40</xdr:col>
          <xdr:colOff>1206500</xdr:colOff>
          <xdr:row>6</xdr:row>
          <xdr:rowOff>50800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Drag and Torque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27213</xdr:colOff>
      <xdr:row>13</xdr:row>
      <xdr:rowOff>27214</xdr:rowOff>
    </xdr:from>
    <xdr:to>
      <xdr:col>36</xdr:col>
      <xdr:colOff>108857</xdr:colOff>
      <xdr:row>29</xdr:row>
      <xdr:rowOff>42181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27214</xdr:colOff>
      <xdr:row>32</xdr:row>
      <xdr:rowOff>54429</xdr:rowOff>
    </xdr:from>
    <xdr:to>
      <xdr:col>36</xdr:col>
      <xdr:colOff>108858</xdr:colOff>
      <xdr:row>47</xdr:row>
      <xdr:rowOff>219075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40821</xdr:colOff>
      <xdr:row>51</xdr:row>
      <xdr:rowOff>54429</xdr:rowOff>
    </xdr:from>
    <xdr:to>
      <xdr:col>36</xdr:col>
      <xdr:colOff>122465</xdr:colOff>
      <xdr:row>66</xdr:row>
      <xdr:rowOff>219075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25400</xdr:rowOff>
        </xdr:from>
        <xdr:to>
          <xdr:col>2</xdr:col>
          <xdr:colOff>330200</xdr:colOff>
          <xdr:row>12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Execute Master Code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61231</xdr:colOff>
      <xdr:row>103</xdr:row>
      <xdr:rowOff>237448</xdr:rowOff>
    </xdr:from>
    <xdr:to>
      <xdr:col>21</xdr:col>
      <xdr:colOff>1047751</xdr:colOff>
      <xdr:row>128</xdr:row>
      <xdr:rowOff>166687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1</xdr:row>
          <xdr:rowOff>12700</xdr:rowOff>
        </xdr:from>
        <xdr:to>
          <xdr:col>16</xdr:col>
          <xdr:colOff>38100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X,Y,Z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5</xdr:row>
          <xdr:rowOff>63500</xdr:rowOff>
        </xdr:from>
        <xdr:to>
          <xdr:col>15</xdr:col>
          <xdr:colOff>596900</xdr:colOff>
          <xdr:row>8</xdr:row>
          <xdr:rowOff>139700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R312"/>
  <sheetViews>
    <sheetView tabSelected="1" zoomScale="50" zoomScaleNormal="50" workbookViewId="0">
      <selection activeCell="P94" sqref="P94"/>
    </sheetView>
  </sheetViews>
  <sheetFormatPr baseColWidth="10" defaultColWidth="8.83203125" defaultRowHeight="19"/>
  <cols>
    <col min="1" max="1" width="23.5" customWidth="1"/>
    <col min="2" max="2" width="26.5" bestFit="1" customWidth="1"/>
    <col min="3" max="3" width="39.83203125" customWidth="1"/>
    <col min="4" max="4" width="34.83203125" customWidth="1"/>
    <col min="5" max="5" width="39.83203125" customWidth="1"/>
    <col min="6" max="7" width="34.83203125" customWidth="1"/>
    <col min="8" max="8" width="20.83203125" customWidth="1"/>
    <col min="9" max="9" width="18.6640625" customWidth="1"/>
    <col min="10" max="11" width="17.6640625" customWidth="1"/>
    <col min="12" max="12" width="17.33203125" bestFit="1" customWidth="1"/>
    <col min="13" max="13" width="22.6640625" bestFit="1" customWidth="1"/>
    <col min="14" max="14" width="18.6640625" customWidth="1"/>
    <col min="15" max="15" width="28.6640625" customWidth="1"/>
    <col min="16" max="16" width="39.1640625" customWidth="1"/>
    <col min="17" max="23" width="17.33203125" customWidth="1"/>
    <col min="24" max="25" width="17.33203125" bestFit="1" customWidth="1"/>
    <col min="26" max="26" width="22.33203125" bestFit="1" customWidth="1"/>
    <col min="27" max="27" width="18" bestFit="1" customWidth="1"/>
    <col min="28" max="28" width="18" customWidth="1"/>
    <col min="29" max="31" width="18" bestFit="1" customWidth="1"/>
    <col min="32" max="32" width="30.5" bestFit="1" customWidth="1"/>
    <col min="33" max="33" width="18" customWidth="1"/>
    <col min="34" max="34" width="22.5" bestFit="1" customWidth="1"/>
    <col min="35" max="35" width="34.5" style="189" customWidth="1"/>
    <col min="36" max="36" width="20.83203125" style="189" customWidth="1"/>
    <col min="37" max="37" width="28.5" bestFit="1" customWidth="1"/>
    <col min="38" max="39" width="25.5" bestFit="1" customWidth="1"/>
    <col min="40" max="41" width="35.5" bestFit="1" customWidth="1"/>
    <col min="42" max="42" width="23" bestFit="1" customWidth="1"/>
    <col min="43" max="43" width="23.6640625" bestFit="1" customWidth="1"/>
    <col min="44" max="44" width="17.33203125" customWidth="1"/>
    <col min="45" max="46" width="17.33203125" bestFit="1" customWidth="1"/>
    <col min="47" max="47" width="10.6640625" bestFit="1" customWidth="1"/>
    <col min="48" max="48" width="12.1640625" bestFit="1" customWidth="1"/>
    <col min="49" max="49" width="10" bestFit="1" customWidth="1"/>
    <col min="50" max="51" width="17.33203125" bestFit="1" customWidth="1"/>
    <col min="52" max="52" width="17.5" bestFit="1" customWidth="1"/>
    <col min="53" max="53" width="17.33203125" bestFit="1" customWidth="1"/>
    <col min="57" max="57" width="16.6640625" bestFit="1" customWidth="1"/>
    <col min="58" max="58" width="38.1640625" style="12" customWidth="1"/>
    <col min="59" max="59" width="33" style="12" customWidth="1"/>
    <col min="60" max="60" width="38.1640625" style="12" bestFit="1" customWidth="1"/>
    <col min="61" max="61" width="33" style="12" bestFit="1" customWidth="1"/>
    <col min="62" max="62" width="31.5" style="12" bestFit="1" customWidth="1"/>
    <col min="63" max="63" width="18.5" style="12" bestFit="1" customWidth="1"/>
    <col min="64" max="64" width="14.6640625" style="12" bestFit="1" customWidth="1"/>
    <col min="65" max="65" width="21.83203125" style="12" bestFit="1" customWidth="1"/>
    <col min="66" max="66" width="18.33203125" style="12" bestFit="1" customWidth="1"/>
    <col min="67" max="67" width="39.33203125" style="12" bestFit="1" customWidth="1"/>
    <col min="68" max="68" width="19" style="12" bestFit="1" customWidth="1"/>
    <col min="69" max="69" width="17.6640625" style="12" bestFit="1" customWidth="1"/>
    <col min="70" max="75" width="18.33203125" style="12" bestFit="1" customWidth="1"/>
    <col min="76" max="76" width="22.5" style="12" bestFit="1" customWidth="1"/>
    <col min="77" max="77" width="23.33203125" style="12" bestFit="1" customWidth="1"/>
    <col min="78" max="78" width="17.6640625" style="12" bestFit="1" customWidth="1"/>
    <col min="79" max="79" width="22.5" style="12" bestFit="1" customWidth="1"/>
    <col min="80" max="80" width="18.5" style="12" bestFit="1" customWidth="1"/>
    <col min="81" max="81" width="22.5" style="12" bestFit="1" customWidth="1"/>
    <col min="82" max="82" width="14.83203125" style="12" bestFit="1" customWidth="1"/>
    <col min="83" max="83" width="18.5" style="12" bestFit="1" customWidth="1"/>
    <col min="84" max="84" width="17.6640625" style="12" bestFit="1" customWidth="1"/>
    <col min="85" max="85" width="14.83203125" style="12" bestFit="1" customWidth="1"/>
    <col min="86" max="86" width="18.5" style="12" bestFit="1" customWidth="1"/>
    <col min="87" max="87" width="17.6640625" style="12" bestFit="1" customWidth="1"/>
    <col min="88" max="88" width="14.83203125" style="12" bestFit="1" customWidth="1"/>
    <col min="89" max="89" width="18.5" style="12" bestFit="1" customWidth="1"/>
    <col min="90" max="90" width="17.6640625" style="12" bestFit="1" customWidth="1"/>
    <col min="91" max="91" width="14.83203125" style="12" bestFit="1" customWidth="1"/>
    <col min="92" max="92" width="18.1640625" style="12" bestFit="1" customWidth="1"/>
    <col min="93" max="93" width="17.33203125" style="12" customWidth="1"/>
    <col min="94" max="16384" width="8.83203125" style="12"/>
  </cols>
  <sheetData>
    <row r="1" spans="1:96" ht="21" thickTop="1" thickBot="1">
      <c r="A1" s="299" t="s">
        <v>46</v>
      </c>
      <c r="B1" s="300"/>
      <c r="C1" s="301"/>
      <c r="D1" s="294" t="s">
        <v>16</v>
      </c>
      <c r="E1" s="295"/>
      <c r="F1" s="296"/>
      <c r="G1" s="12"/>
      <c r="H1" s="282" t="s">
        <v>76</v>
      </c>
      <c r="I1" s="282"/>
      <c r="J1" s="282"/>
      <c r="K1" s="13"/>
      <c r="L1" s="12"/>
      <c r="M1" s="273" t="s">
        <v>37</v>
      </c>
      <c r="N1" s="274"/>
      <c r="O1" s="275"/>
      <c r="P1" s="12"/>
      <c r="Q1" s="12"/>
      <c r="R1" s="289" t="s">
        <v>141</v>
      </c>
      <c r="S1" s="290"/>
      <c r="T1" s="290"/>
      <c r="U1" s="290"/>
      <c r="V1" s="290"/>
      <c r="W1" s="290"/>
      <c r="X1" s="290"/>
      <c r="Y1" s="290"/>
      <c r="Z1" s="291"/>
      <c r="AA1" s="12"/>
      <c r="AB1" s="12"/>
      <c r="AC1" s="117"/>
      <c r="AD1" s="13"/>
      <c r="AE1" s="12"/>
      <c r="AF1" s="251" t="s">
        <v>202</v>
      </c>
      <c r="AG1" s="252"/>
      <c r="AH1" s="253"/>
      <c r="AI1" s="12"/>
      <c r="AJ1" s="226" t="s">
        <v>77</v>
      </c>
      <c r="AK1" s="226"/>
      <c r="AL1" s="226"/>
      <c r="AM1" s="226"/>
      <c r="AN1" s="226"/>
      <c r="AO1" s="86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17"/>
      <c r="BD1" s="12"/>
      <c r="BE1" s="12"/>
    </row>
    <row r="2" spans="1:96" ht="18" customHeight="1" thickTop="1" thickBot="1">
      <c r="A2" s="48" t="s">
        <v>148</v>
      </c>
      <c r="B2" s="49">
        <v>30</v>
      </c>
      <c r="C2" s="49" t="s">
        <v>5</v>
      </c>
      <c r="D2" s="55" t="s">
        <v>2</v>
      </c>
      <c r="E2" s="56">
        <v>900</v>
      </c>
      <c r="F2" s="55" t="s">
        <v>5</v>
      </c>
      <c r="G2" s="13"/>
      <c r="H2" s="226" t="s">
        <v>77</v>
      </c>
      <c r="I2" s="226"/>
      <c r="J2" s="226"/>
      <c r="K2" s="13"/>
      <c r="L2" s="12"/>
      <c r="M2" s="45" t="s">
        <v>29</v>
      </c>
      <c r="N2" s="46">
        <v>-32959.328911599143</v>
      </c>
      <c r="O2" s="47" t="s">
        <v>5</v>
      </c>
      <c r="P2" s="12"/>
      <c r="Q2" s="12"/>
      <c r="R2" s="42" t="s">
        <v>132</v>
      </c>
      <c r="S2" s="43" t="s">
        <v>133</v>
      </c>
      <c r="T2" s="44" t="s">
        <v>134</v>
      </c>
      <c r="U2" s="283" t="s">
        <v>149</v>
      </c>
      <c r="V2" s="284"/>
      <c r="W2" s="285"/>
      <c r="X2" s="71" t="s">
        <v>161</v>
      </c>
      <c r="Y2" s="72" t="s">
        <v>162</v>
      </c>
      <c r="Z2" s="73" t="s">
        <v>163</v>
      </c>
      <c r="AA2" s="12"/>
      <c r="AB2" s="12"/>
      <c r="AC2" s="117"/>
      <c r="AD2" s="13"/>
      <c r="AE2" s="12"/>
      <c r="AF2" s="12"/>
      <c r="AG2" s="12"/>
      <c r="AH2" s="12"/>
      <c r="AI2" s="12"/>
      <c r="AJ2" s="226" t="s">
        <v>208</v>
      </c>
      <c r="AK2" s="226"/>
      <c r="AL2" s="226"/>
      <c r="AM2" s="226"/>
      <c r="AN2" s="226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17"/>
      <c r="BD2" s="12"/>
      <c r="BE2" s="12"/>
    </row>
    <row r="3" spans="1:96" ht="18" customHeight="1" thickBot="1">
      <c r="A3" s="302" t="s">
        <v>184</v>
      </c>
      <c r="B3" s="303"/>
      <c r="C3" s="304"/>
      <c r="D3" s="14" t="s">
        <v>9</v>
      </c>
      <c r="E3" s="15">
        <v>20</v>
      </c>
      <c r="F3" s="14" t="s">
        <v>59</v>
      </c>
      <c r="G3" s="13"/>
      <c r="H3" s="13"/>
      <c r="I3" s="13"/>
      <c r="J3" s="13"/>
      <c r="K3" s="13"/>
      <c r="L3" s="12"/>
      <c r="M3" s="16" t="s">
        <v>30</v>
      </c>
      <c r="N3" s="17">
        <v>108366.72764747469</v>
      </c>
      <c r="O3" s="18" t="s">
        <v>5</v>
      </c>
      <c r="P3" s="12"/>
      <c r="Q3" s="12"/>
      <c r="R3" s="36">
        <f>B5</f>
        <v>0</v>
      </c>
      <c r="S3" s="37">
        <f>B6</f>
        <v>0</v>
      </c>
      <c r="T3" s="38">
        <f>B7</f>
        <v>0</v>
      </c>
      <c r="U3" s="36" t="s">
        <v>73</v>
      </c>
      <c r="V3" s="57">
        <v>250</v>
      </c>
      <c r="W3" s="58" t="s">
        <v>5</v>
      </c>
      <c r="X3" s="74">
        <v>196.20141051574109</v>
      </c>
      <c r="Y3" s="75">
        <v>195.58579141058442</v>
      </c>
      <c r="Z3" s="76">
        <v>9488.2610746027676</v>
      </c>
      <c r="AA3" s="12"/>
      <c r="AB3" s="12"/>
      <c r="AC3" s="117"/>
      <c r="AD3" s="13"/>
      <c r="AE3" s="12"/>
      <c r="AF3" s="248" t="s">
        <v>183</v>
      </c>
      <c r="AG3" s="249"/>
      <c r="AH3" s="250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17"/>
      <c r="BD3" s="12"/>
      <c r="BE3" s="12"/>
    </row>
    <row r="4" spans="1:96" ht="18" customHeight="1" thickTop="1" thickBot="1">
      <c r="A4" s="297" t="s">
        <v>18</v>
      </c>
      <c r="B4" s="298"/>
      <c r="C4" s="298"/>
      <c r="D4" s="14" t="s">
        <v>11</v>
      </c>
      <c r="E4" s="15">
        <v>0.08</v>
      </c>
      <c r="F4" s="14" t="s">
        <v>12</v>
      </c>
      <c r="G4" s="13" t="s">
        <v>24</v>
      </c>
      <c r="H4" s="13"/>
      <c r="I4" s="13"/>
      <c r="J4" s="13"/>
      <c r="K4" s="13"/>
      <c r="L4" s="12"/>
      <c r="M4" s="16" t="s">
        <v>32</v>
      </c>
      <c r="N4" s="17">
        <v>-31712.049319938087</v>
      </c>
      <c r="O4" s="18" t="s">
        <v>5</v>
      </c>
      <c r="P4" s="12"/>
      <c r="Q4" s="12"/>
      <c r="R4" s="19" t="s">
        <v>135</v>
      </c>
      <c r="S4" s="20" t="s">
        <v>136</v>
      </c>
      <c r="T4" s="21" t="s">
        <v>137</v>
      </c>
      <c r="U4" s="286" t="s">
        <v>74</v>
      </c>
      <c r="V4" s="287"/>
      <c r="W4" s="288"/>
      <c r="X4" s="77" t="s">
        <v>158</v>
      </c>
      <c r="Y4" s="78" t="s">
        <v>159</v>
      </c>
      <c r="Z4" s="79" t="s">
        <v>160</v>
      </c>
      <c r="AA4" s="264" t="s">
        <v>185</v>
      </c>
      <c r="AB4" s="226"/>
      <c r="AC4" s="117"/>
      <c r="AD4" s="13"/>
      <c r="AE4" s="12"/>
      <c r="AF4" s="91" t="s">
        <v>55</v>
      </c>
      <c r="AG4" s="115">
        <f>E2</f>
        <v>900</v>
      </c>
      <c r="AH4" s="92" t="s">
        <v>5</v>
      </c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17"/>
      <c r="BD4" s="12"/>
      <c r="BE4" s="12"/>
    </row>
    <row r="5" spans="1:96" ht="18" customHeight="1" thickTop="1" thickBot="1">
      <c r="A5" s="50" t="s">
        <v>132</v>
      </c>
      <c r="B5" s="51">
        <v>0</v>
      </c>
      <c r="C5" s="51" t="s">
        <v>5</v>
      </c>
      <c r="D5" s="271" t="s">
        <v>19</v>
      </c>
      <c r="E5" s="271"/>
      <c r="F5" s="271"/>
      <c r="G5" s="24"/>
      <c r="H5" s="12"/>
      <c r="I5" s="12"/>
      <c r="J5" s="12"/>
      <c r="K5" s="12"/>
      <c r="L5" s="12"/>
      <c r="M5" s="16" t="s">
        <v>33</v>
      </c>
      <c r="N5" s="17">
        <v>9500</v>
      </c>
      <c r="O5" s="25" t="s">
        <v>5</v>
      </c>
      <c r="P5" s="12"/>
      <c r="Q5" s="12"/>
      <c r="R5" s="39">
        <f>B9</f>
        <v>200</v>
      </c>
      <c r="S5" s="40">
        <f>B10</f>
        <v>200</v>
      </c>
      <c r="T5" s="41">
        <f>B11</f>
        <v>9500</v>
      </c>
      <c r="U5" s="279" t="s">
        <v>75</v>
      </c>
      <c r="V5" s="280"/>
      <c r="W5" s="281"/>
      <c r="X5" s="80">
        <f>ABS(R5-X3)</f>
        <v>3.7985894842589119</v>
      </c>
      <c r="Y5" s="81">
        <f>ABS(S5-Y3)</f>
        <v>4.4142085894155798</v>
      </c>
      <c r="Z5" s="82">
        <f>ABS(T5-Z3)</f>
        <v>11.738925397232379</v>
      </c>
      <c r="AA5" s="265">
        <f>SQRT(X5^2+Y5^2+Z5^2)</f>
        <v>13.104079098608191</v>
      </c>
      <c r="AB5" s="266"/>
      <c r="AC5" s="117"/>
      <c r="AD5" s="13"/>
      <c r="AE5" s="12"/>
      <c r="AF5" s="93" t="s">
        <v>190</v>
      </c>
      <c r="AG5" s="114">
        <f>N14-N13</f>
        <v>4087.079700245949</v>
      </c>
      <c r="AH5" s="94" t="s">
        <v>5</v>
      </c>
      <c r="AI5" s="245" t="s">
        <v>182</v>
      </c>
      <c r="AJ5" s="246"/>
      <c r="AK5" s="247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17"/>
      <c r="BD5" s="12"/>
      <c r="BE5" s="12"/>
    </row>
    <row r="6" spans="1:96" ht="18" customHeight="1" thickTop="1" thickBot="1">
      <c r="A6" s="22" t="s">
        <v>133</v>
      </c>
      <c r="B6" s="23">
        <v>0</v>
      </c>
      <c r="C6" s="23" t="s">
        <v>5</v>
      </c>
      <c r="D6" s="55" t="s">
        <v>22</v>
      </c>
      <c r="E6" s="55">
        <v>20</v>
      </c>
      <c r="F6" s="55" t="s">
        <v>59</v>
      </c>
      <c r="G6" s="13"/>
      <c r="H6" s="12"/>
      <c r="I6" s="12"/>
      <c r="J6" s="12"/>
      <c r="K6" s="12"/>
      <c r="L6" s="12"/>
      <c r="M6" s="16" t="s">
        <v>34</v>
      </c>
      <c r="N6" s="17">
        <v>-27.087463129279314</v>
      </c>
      <c r="O6" s="25" t="s">
        <v>31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17"/>
      <c r="AD6" s="13"/>
      <c r="AE6" s="12"/>
      <c r="AF6" s="12"/>
      <c r="AG6" s="12"/>
      <c r="AH6" s="12"/>
      <c r="AI6" s="88" t="s">
        <v>188</v>
      </c>
      <c r="AJ6" s="103">
        <v>90</v>
      </c>
      <c r="AK6" s="116" t="s">
        <v>200</v>
      </c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17"/>
      <c r="BD6" s="12"/>
      <c r="BE6" s="12"/>
    </row>
    <row r="7" spans="1:96" ht="20" thickBot="1">
      <c r="A7" s="22" t="s">
        <v>134</v>
      </c>
      <c r="B7" s="23">
        <v>0</v>
      </c>
      <c r="C7" s="23" t="s">
        <v>5</v>
      </c>
      <c r="D7" s="271" t="s">
        <v>20</v>
      </c>
      <c r="E7" s="271"/>
      <c r="F7" s="271"/>
      <c r="G7" s="2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7"/>
      <c r="AD7" s="13"/>
      <c r="AE7" s="12"/>
      <c r="AF7" s="267" t="s">
        <v>181</v>
      </c>
      <c r="AG7" s="268"/>
      <c r="AH7" s="269"/>
      <c r="AI7" s="89" t="s">
        <v>175</v>
      </c>
      <c r="AJ7" s="104">
        <v>2</v>
      </c>
      <c r="AK7" s="105" t="s">
        <v>3</v>
      </c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17"/>
      <c r="BD7" s="12"/>
      <c r="BE7" s="12"/>
    </row>
    <row r="8" spans="1:96" ht="18" customHeight="1" thickTop="1" thickBot="1">
      <c r="A8" s="292" t="s">
        <v>21</v>
      </c>
      <c r="B8" s="293"/>
      <c r="C8" s="293"/>
      <c r="D8" s="55" t="s">
        <v>9</v>
      </c>
      <c r="E8" s="56">
        <v>20</v>
      </c>
      <c r="F8" s="55" t="s">
        <v>59</v>
      </c>
      <c r="G8" s="12"/>
      <c r="H8" s="12"/>
      <c r="I8" s="12"/>
      <c r="J8" s="12"/>
      <c r="K8" s="12"/>
      <c r="L8" s="12"/>
      <c r="M8" s="220" t="s">
        <v>35</v>
      </c>
      <c r="N8" s="221"/>
      <c r="O8" s="222"/>
      <c r="P8" s="12"/>
      <c r="Q8" s="12"/>
      <c r="R8" s="256" t="s">
        <v>140</v>
      </c>
      <c r="S8" s="257"/>
      <c r="T8" s="257"/>
      <c r="U8" s="257"/>
      <c r="V8" s="257"/>
      <c r="W8" s="257"/>
      <c r="X8" s="257"/>
      <c r="Y8" s="257"/>
      <c r="Z8" s="257"/>
      <c r="AA8" s="257"/>
      <c r="AB8" s="258"/>
      <c r="AC8" s="117"/>
      <c r="AD8" s="13"/>
      <c r="AE8" s="12"/>
      <c r="AF8" s="95" t="s">
        <v>193</v>
      </c>
      <c r="AG8" s="96">
        <v>0.3</v>
      </c>
      <c r="AH8" s="97" t="s">
        <v>198</v>
      </c>
      <c r="AI8" s="90" t="s">
        <v>176</v>
      </c>
      <c r="AJ8" s="106">
        <v>8</v>
      </c>
      <c r="AK8" s="107" t="s">
        <v>3</v>
      </c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17"/>
      <c r="BD8" s="12"/>
      <c r="BE8" s="12"/>
    </row>
    <row r="9" spans="1:96" ht="18" customHeight="1" thickTop="1" thickBot="1">
      <c r="A9" s="52" t="s">
        <v>135</v>
      </c>
      <c r="B9" s="53">
        <v>200</v>
      </c>
      <c r="C9" s="54" t="s">
        <v>5</v>
      </c>
      <c r="D9" s="14" t="s">
        <v>26</v>
      </c>
      <c r="E9" s="15">
        <v>0.08</v>
      </c>
      <c r="F9" s="14" t="s">
        <v>12</v>
      </c>
      <c r="G9" s="13" t="s">
        <v>24</v>
      </c>
      <c r="H9" s="12"/>
      <c r="I9" s="12"/>
      <c r="J9" s="12"/>
      <c r="K9" s="12"/>
      <c r="L9" s="12"/>
      <c r="M9" s="45" t="s">
        <v>36</v>
      </c>
      <c r="N9" s="46">
        <v>1.8062796316386016</v>
      </c>
      <c r="O9" s="47" t="s">
        <v>31</v>
      </c>
      <c r="P9" s="12"/>
      <c r="Q9" s="12"/>
      <c r="R9" s="261" t="s">
        <v>150</v>
      </c>
      <c r="S9" s="262"/>
      <c r="T9" s="262"/>
      <c r="U9" s="262"/>
      <c r="V9" s="262"/>
      <c r="W9" s="263"/>
      <c r="X9" s="259" t="s">
        <v>157</v>
      </c>
      <c r="Y9" s="259"/>
      <c r="Z9" s="260"/>
      <c r="AA9" s="62">
        <v>1500</v>
      </c>
      <c r="AB9" s="63" t="s">
        <v>5</v>
      </c>
      <c r="AC9" s="117"/>
      <c r="AD9" s="13"/>
      <c r="AE9" s="12"/>
      <c r="AF9" s="95" t="s">
        <v>187</v>
      </c>
      <c r="AG9" s="98">
        <v>45000</v>
      </c>
      <c r="AH9" s="99" t="s">
        <v>194</v>
      </c>
      <c r="AI9" s="12"/>
      <c r="AJ9" s="12"/>
      <c r="AK9" s="12"/>
      <c r="AL9" s="12"/>
      <c r="AM9" s="12"/>
      <c r="AN9" s="12"/>
      <c r="AO9" s="84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17"/>
      <c r="BD9" s="12"/>
      <c r="BE9" s="12"/>
    </row>
    <row r="10" spans="1:96" ht="18" customHeight="1" thickBot="1">
      <c r="A10" s="26" t="s">
        <v>136</v>
      </c>
      <c r="B10" s="27">
        <v>200</v>
      </c>
      <c r="C10" s="27" t="s">
        <v>5</v>
      </c>
      <c r="D10" s="271" t="s">
        <v>28</v>
      </c>
      <c r="E10" s="271"/>
      <c r="F10" s="272"/>
      <c r="G10" s="13"/>
      <c r="H10" s="12"/>
      <c r="I10" s="12"/>
      <c r="J10" s="12"/>
      <c r="K10" s="12"/>
      <c r="L10" s="12"/>
      <c r="M10" s="16" t="s">
        <v>32</v>
      </c>
      <c r="N10" s="17">
        <v>3157.4755608459777</v>
      </c>
      <c r="O10" s="18" t="s">
        <v>5</v>
      </c>
      <c r="P10" s="12" t="s">
        <v>38</v>
      </c>
      <c r="Q10" s="12"/>
      <c r="R10" s="254" t="s">
        <v>81</v>
      </c>
      <c r="S10" s="255"/>
      <c r="T10" s="109">
        <v>3.472505401999717</v>
      </c>
      <c r="U10" s="59" t="s">
        <v>5</v>
      </c>
      <c r="V10" s="270" t="s">
        <v>36</v>
      </c>
      <c r="W10" s="255"/>
      <c r="X10" s="109">
        <v>0.4800095500822652</v>
      </c>
      <c r="Y10" s="59"/>
      <c r="Z10" s="64" t="s">
        <v>142</v>
      </c>
      <c r="AA10" s="111">
        <v>8.37684021713434E-3</v>
      </c>
      <c r="AB10" s="59"/>
      <c r="AC10" s="117"/>
      <c r="AD10" s="13"/>
      <c r="AE10" s="12"/>
      <c r="AF10" s="100" t="s">
        <v>173</v>
      </c>
      <c r="AG10" s="96">
        <v>20.149999999999999</v>
      </c>
      <c r="AH10" s="99" t="s">
        <v>197</v>
      </c>
      <c r="AI10" s="12"/>
      <c r="AJ10" s="12"/>
      <c r="AK10" s="12"/>
      <c r="AL10" s="12"/>
      <c r="AM10" s="12"/>
      <c r="AN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17"/>
      <c r="BD10" s="12"/>
      <c r="BE10" s="12"/>
    </row>
    <row r="11" spans="1:96" ht="18" customHeight="1" thickTop="1" thickBot="1">
      <c r="A11" s="67" t="s">
        <v>137</v>
      </c>
      <c r="B11" s="68">
        <v>9500</v>
      </c>
      <c r="C11" s="69" t="s">
        <v>5</v>
      </c>
      <c r="D11" s="55" t="s">
        <v>17</v>
      </c>
      <c r="E11" s="56">
        <v>2.5000000000000001E-2</v>
      </c>
      <c r="F11" s="55" t="s">
        <v>12</v>
      </c>
      <c r="G11" s="13" t="s">
        <v>23</v>
      </c>
      <c r="H11" s="227" t="s">
        <v>214</v>
      </c>
      <c r="I11" s="228"/>
      <c r="J11" s="228"/>
      <c r="K11" s="229"/>
      <c r="L11" s="12"/>
      <c r="M11" s="16" t="s">
        <v>33</v>
      </c>
      <c r="N11" s="17">
        <v>7242.5244391540227</v>
      </c>
      <c r="O11" s="18" t="s">
        <v>5</v>
      </c>
      <c r="P11" s="12" t="s">
        <v>40</v>
      </c>
      <c r="Q11" s="12"/>
      <c r="R11" s="239" t="s">
        <v>82</v>
      </c>
      <c r="S11" s="240"/>
      <c r="T11" s="110">
        <v>14.407677011037352</v>
      </c>
      <c r="U11" s="60" t="s">
        <v>5</v>
      </c>
      <c r="V11" s="241" t="s">
        <v>153</v>
      </c>
      <c r="W11" s="240"/>
      <c r="X11" s="110">
        <v>359.63874701559928</v>
      </c>
      <c r="Y11" s="60"/>
      <c r="Z11" s="65" t="s">
        <v>143</v>
      </c>
      <c r="AA11" s="112">
        <v>-5.6690157335721797E-5</v>
      </c>
      <c r="AB11" s="60"/>
      <c r="AC11" s="117"/>
      <c r="AD11" s="13"/>
      <c r="AE11" s="12"/>
      <c r="AF11" s="101" t="s">
        <v>189</v>
      </c>
      <c r="AG11" s="102">
        <v>315500</v>
      </c>
      <c r="AH11" s="108" t="s">
        <v>194</v>
      </c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17"/>
      <c r="BD11" s="12"/>
      <c r="BE11" s="12"/>
    </row>
    <row r="12" spans="1:96" ht="18" customHeight="1" thickBot="1">
      <c r="A12" s="276" t="s">
        <v>199</v>
      </c>
      <c r="B12" s="277"/>
      <c r="C12" s="278"/>
      <c r="D12" s="15" t="s">
        <v>25</v>
      </c>
      <c r="E12" s="15">
        <v>10</v>
      </c>
      <c r="F12" s="14" t="s">
        <v>31</v>
      </c>
      <c r="G12" s="12"/>
      <c r="H12" s="230"/>
      <c r="I12" s="231"/>
      <c r="J12" s="231"/>
      <c r="K12" s="232"/>
      <c r="L12" s="12"/>
      <c r="M12" s="16" t="s">
        <v>39</v>
      </c>
      <c r="N12" s="17">
        <v>9500</v>
      </c>
      <c r="O12" s="18" t="s">
        <v>5</v>
      </c>
      <c r="P12" s="12" t="s">
        <v>41</v>
      </c>
      <c r="Q12" s="12"/>
      <c r="R12" s="239" t="s">
        <v>151</v>
      </c>
      <c r="S12" s="240"/>
      <c r="T12" s="110">
        <v>8.0000274119318635E-2</v>
      </c>
      <c r="U12" s="60"/>
      <c r="V12" s="241" t="s">
        <v>154</v>
      </c>
      <c r="W12" s="240"/>
      <c r="X12" s="110">
        <v>1633.8011003531817</v>
      </c>
      <c r="Y12" s="60"/>
      <c r="Z12" s="65" t="s">
        <v>144</v>
      </c>
      <c r="AA12" s="112">
        <v>0.99996491205151927</v>
      </c>
      <c r="AB12" s="60"/>
      <c r="AC12" s="117"/>
      <c r="AD12" s="13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17"/>
      <c r="BD12" s="12"/>
      <c r="BE12" s="12"/>
    </row>
    <row r="13" spans="1:96" ht="18" customHeight="1" thickBot="1">
      <c r="A13" s="28"/>
      <c r="B13" s="29"/>
      <c r="C13" s="29"/>
      <c r="D13" s="12"/>
      <c r="E13" s="12"/>
      <c r="F13" s="12"/>
      <c r="G13" s="12"/>
      <c r="H13" s="12"/>
      <c r="I13" s="12"/>
      <c r="J13" s="12"/>
      <c r="K13" s="12"/>
      <c r="L13" s="12"/>
      <c r="M13" s="16" t="s">
        <v>29</v>
      </c>
      <c r="N13" s="17">
        <v>3157.8495395482519</v>
      </c>
      <c r="O13" s="18" t="s">
        <v>5</v>
      </c>
      <c r="P13" s="12"/>
      <c r="Q13" s="12"/>
      <c r="R13" s="239" t="s">
        <v>155</v>
      </c>
      <c r="S13" s="240"/>
      <c r="T13" s="110">
        <v>716.25</v>
      </c>
      <c r="U13" s="60"/>
      <c r="V13" s="241" t="s">
        <v>156</v>
      </c>
      <c r="W13" s="240"/>
      <c r="X13" s="110">
        <v>14.820237873303229</v>
      </c>
      <c r="Y13" s="60"/>
      <c r="Z13" s="65" t="s">
        <v>145</v>
      </c>
      <c r="AA13" s="112">
        <v>7.9996778390039977E-2</v>
      </c>
      <c r="AB13" s="60"/>
      <c r="AC13" s="117"/>
      <c r="AD13" s="13"/>
      <c r="AI13"/>
      <c r="AJ13"/>
      <c r="AL13" s="12"/>
      <c r="AM13" s="12"/>
      <c r="AN13" s="242" t="s">
        <v>186</v>
      </c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4"/>
      <c r="BB13" s="12"/>
      <c r="BC13" s="117"/>
      <c r="BD13" s="12"/>
      <c r="BE13" s="12"/>
    </row>
    <row r="14" spans="1:96" ht="18" customHeight="1" thickBot="1">
      <c r="A14" s="30" t="s">
        <v>43</v>
      </c>
      <c r="B14" s="31" t="s">
        <v>169</v>
      </c>
      <c r="C14" s="31" t="s">
        <v>51</v>
      </c>
      <c r="D14" s="31" t="s">
        <v>168</v>
      </c>
      <c r="E14" s="31" t="s">
        <v>44</v>
      </c>
      <c r="F14" s="31" t="s">
        <v>52</v>
      </c>
      <c r="G14" s="31" t="s">
        <v>53</v>
      </c>
      <c r="H14" s="31" t="s">
        <v>54</v>
      </c>
      <c r="I14" s="31" t="s">
        <v>165</v>
      </c>
      <c r="J14" s="31" t="s">
        <v>166</v>
      </c>
      <c r="K14" s="32" t="s">
        <v>167</v>
      </c>
      <c r="L14" s="12"/>
      <c r="M14" s="16" t="s">
        <v>30</v>
      </c>
      <c r="N14" s="17">
        <v>7244.9292397942008</v>
      </c>
      <c r="O14" s="18" t="s">
        <v>5</v>
      </c>
      <c r="P14" s="12"/>
      <c r="Q14" s="12"/>
      <c r="R14" s="239" t="s">
        <v>152</v>
      </c>
      <c r="S14" s="240"/>
      <c r="T14" s="110">
        <v>0</v>
      </c>
      <c r="U14" s="60"/>
      <c r="V14" s="236" t="s">
        <v>139</v>
      </c>
      <c r="W14" s="237"/>
      <c r="X14" s="237"/>
      <c r="Y14" s="238"/>
      <c r="Z14" s="65" t="s">
        <v>146</v>
      </c>
      <c r="AA14" s="112">
        <v>-7.507885725997833E-4</v>
      </c>
      <c r="AB14" s="60"/>
      <c r="AC14" s="117"/>
      <c r="AD14" s="13"/>
      <c r="AI14"/>
      <c r="AJ14"/>
      <c r="AL14" s="83"/>
      <c r="AM14" s="83"/>
      <c r="AN14" s="85" t="s">
        <v>43</v>
      </c>
      <c r="AO14" s="31" t="s">
        <v>79</v>
      </c>
      <c r="AP14" s="31" t="s">
        <v>169</v>
      </c>
      <c r="AQ14" s="31" t="s">
        <v>174</v>
      </c>
      <c r="AR14" s="31" t="s">
        <v>168</v>
      </c>
      <c r="AS14" s="31" t="s">
        <v>206</v>
      </c>
      <c r="AT14" s="31" t="s">
        <v>207</v>
      </c>
      <c r="AU14" s="31" t="s">
        <v>177</v>
      </c>
      <c r="AV14" s="31" t="s">
        <v>178</v>
      </c>
      <c r="AW14" s="31" t="s">
        <v>179</v>
      </c>
      <c r="AX14" s="31" t="s">
        <v>203</v>
      </c>
      <c r="AY14" s="31" t="s">
        <v>204</v>
      </c>
      <c r="AZ14" s="31" t="s">
        <v>205</v>
      </c>
      <c r="BA14" s="32" t="s">
        <v>180</v>
      </c>
      <c r="BB14" s="12"/>
      <c r="BC14" s="117"/>
      <c r="BD14" s="12"/>
      <c r="BE14" s="12"/>
      <c r="CP14"/>
      <c r="CQ14"/>
      <c r="CR14"/>
    </row>
    <row r="15" spans="1:96" ht="18" customHeight="1" thickTop="1" thickBot="1">
      <c r="A15" s="28" t="s">
        <v>55</v>
      </c>
      <c r="B15" s="171">
        <v>45</v>
      </c>
      <c r="C15" s="171">
        <v>0</v>
      </c>
      <c r="D15" s="171">
        <v>55</v>
      </c>
      <c r="E15" s="171" t="s">
        <v>164</v>
      </c>
      <c r="F15" s="171">
        <v>0</v>
      </c>
      <c r="G15" s="171">
        <v>0</v>
      </c>
      <c r="H15" s="171">
        <v>45</v>
      </c>
      <c r="I15" s="171">
        <v>0</v>
      </c>
      <c r="J15" s="171">
        <v>0</v>
      </c>
      <c r="K15" s="171">
        <v>45</v>
      </c>
      <c r="L15" s="12"/>
      <c r="M15" s="16" t="s">
        <v>42</v>
      </c>
      <c r="N15" s="33">
        <v>9502.7787793424523</v>
      </c>
      <c r="O15" s="18" t="s">
        <v>5</v>
      </c>
      <c r="P15" s="12"/>
      <c r="Q15" s="12"/>
      <c r="R15" s="233" t="s">
        <v>139</v>
      </c>
      <c r="S15" s="234"/>
      <c r="T15" s="234"/>
      <c r="U15" s="234"/>
      <c r="V15" s="234"/>
      <c r="W15" s="234"/>
      <c r="X15" s="234"/>
      <c r="Y15" s="235"/>
      <c r="Z15" s="66" t="s">
        <v>147</v>
      </c>
      <c r="AA15" s="113">
        <v>-6.7016256319117346E-4</v>
      </c>
      <c r="AB15" s="61"/>
      <c r="AC15" s="117"/>
      <c r="AD15" s="13"/>
      <c r="AI15"/>
      <c r="AJ15"/>
      <c r="AL15" s="12"/>
      <c r="AM15" s="12"/>
      <c r="AN15" s="12" t="s">
        <v>55</v>
      </c>
      <c r="AO15" s="12">
        <v>45</v>
      </c>
      <c r="AP15" s="12">
        <v>45</v>
      </c>
      <c r="AQ15" s="12">
        <v>0</v>
      </c>
      <c r="AR15" s="12">
        <v>55</v>
      </c>
      <c r="AS15" s="87">
        <v>45</v>
      </c>
      <c r="AT15" s="87">
        <v>45</v>
      </c>
      <c r="AU15" s="87">
        <v>0</v>
      </c>
      <c r="AV15" s="87">
        <v>0</v>
      </c>
      <c r="AW15" s="87">
        <v>0</v>
      </c>
      <c r="AX15" s="12">
        <v>311764.2379422448</v>
      </c>
      <c r="AY15" s="12">
        <v>258192.3771929511</v>
      </c>
      <c r="AZ15" s="12">
        <v>0</v>
      </c>
      <c r="BA15" s="12">
        <v>0</v>
      </c>
      <c r="BB15" s="12"/>
      <c r="BC15" s="117"/>
      <c r="BD15" s="12"/>
      <c r="BE15" s="12"/>
      <c r="CP15"/>
      <c r="CQ15"/>
      <c r="CR15"/>
    </row>
    <row r="16" spans="1:96" ht="18" customHeight="1">
      <c r="A16" s="171" t="s">
        <v>55</v>
      </c>
      <c r="B16" s="171">
        <v>45</v>
      </c>
      <c r="C16" s="171">
        <v>0</v>
      </c>
      <c r="D16" s="171">
        <v>55</v>
      </c>
      <c r="E16" s="171" t="s">
        <v>164</v>
      </c>
      <c r="F16" s="171">
        <v>0</v>
      </c>
      <c r="G16" s="171">
        <v>0</v>
      </c>
      <c r="H16" s="171">
        <v>45</v>
      </c>
      <c r="I16" s="171">
        <v>0</v>
      </c>
      <c r="J16" s="171">
        <v>0</v>
      </c>
      <c r="K16" s="171">
        <v>90</v>
      </c>
      <c r="L16" s="12"/>
      <c r="M16" s="12"/>
      <c r="N16" s="12"/>
      <c r="O16" s="12"/>
      <c r="P16" s="12"/>
      <c r="Q16" s="12" t="s">
        <v>27</v>
      </c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17"/>
      <c r="AD16" s="13"/>
      <c r="AI16"/>
      <c r="AJ16"/>
      <c r="AL16" s="12"/>
      <c r="AM16" s="12"/>
      <c r="AN16" s="12" t="s">
        <v>55</v>
      </c>
      <c r="AO16" s="12">
        <v>90</v>
      </c>
      <c r="AP16" s="12">
        <v>45</v>
      </c>
      <c r="AQ16" s="12">
        <v>0</v>
      </c>
      <c r="AR16" s="12">
        <v>55</v>
      </c>
      <c r="AS16" s="87">
        <v>90</v>
      </c>
      <c r="AT16" s="87">
        <v>45</v>
      </c>
      <c r="AU16" s="87">
        <v>0</v>
      </c>
      <c r="AV16" s="87">
        <v>0</v>
      </c>
      <c r="AW16" s="87">
        <v>0</v>
      </c>
      <c r="AX16" s="12">
        <v>310857.4879422448</v>
      </c>
      <c r="AY16" s="12">
        <v>257285.6271929511</v>
      </c>
      <c r="AZ16" s="12">
        <v>0</v>
      </c>
      <c r="BA16" s="12">
        <v>0</v>
      </c>
      <c r="BB16" s="12"/>
      <c r="BC16" s="117"/>
      <c r="BD16" s="12"/>
      <c r="BE16" s="12"/>
      <c r="CP16"/>
      <c r="CQ16"/>
      <c r="CR16"/>
    </row>
    <row r="17" spans="1:96" ht="18" customHeight="1">
      <c r="A17" s="171" t="s">
        <v>55</v>
      </c>
      <c r="B17" s="171">
        <v>45</v>
      </c>
      <c r="C17" s="171">
        <v>0</v>
      </c>
      <c r="D17" s="171">
        <v>55</v>
      </c>
      <c r="E17" s="171" t="s">
        <v>164</v>
      </c>
      <c r="F17" s="171">
        <v>0</v>
      </c>
      <c r="G17" s="171">
        <v>0</v>
      </c>
      <c r="H17" s="171">
        <v>45</v>
      </c>
      <c r="I17" s="171">
        <v>0</v>
      </c>
      <c r="J17" s="171">
        <v>0</v>
      </c>
      <c r="K17" s="171">
        <v>135</v>
      </c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17"/>
      <c r="AD17" s="13"/>
      <c r="AI17"/>
      <c r="AJ17"/>
      <c r="AL17" s="12"/>
      <c r="AM17" s="12"/>
      <c r="AN17" s="12" t="s">
        <v>55</v>
      </c>
      <c r="AO17" s="12">
        <v>135</v>
      </c>
      <c r="AP17" s="12">
        <v>45</v>
      </c>
      <c r="AQ17" s="12">
        <v>0</v>
      </c>
      <c r="AR17" s="12">
        <v>55</v>
      </c>
      <c r="AS17" s="87">
        <v>135</v>
      </c>
      <c r="AT17" s="87">
        <v>45</v>
      </c>
      <c r="AU17" s="87">
        <v>0</v>
      </c>
      <c r="AV17" s="87">
        <v>0</v>
      </c>
      <c r="AW17" s="87">
        <v>0</v>
      </c>
      <c r="AX17" s="12">
        <v>309950.7379422448</v>
      </c>
      <c r="AY17" s="12">
        <v>256378.8771929511</v>
      </c>
      <c r="AZ17" s="12">
        <v>0</v>
      </c>
      <c r="BA17" s="12">
        <v>0</v>
      </c>
      <c r="BB17" s="12"/>
      <c r="BC17" s="117"/>
      <c r="BD17" s="12"/>
      <c r="BE17" s="12"/>
      <c r="CP17"/>
      <c r="CQ17"/>
      <c r="CR17"/>
    </row>
    <row r="18" spans="1:96" ht="18" customHeight="1">
      <c r="A18" s="171" t="s">
        <v>55</v>
      </c>
      <c r="B18" s="171">
        <v>45</v>
      </c>
      <c r="C18" s="171">
        <v>0</v>
      </c>
      <c r="D18" s="171">
        <v>55</v>
      </c>
      <c r="E18" s="171" t="s">
        <v>164</v>
      </c>
      <c r="F18" s="171">
        <v>0</v>
      </c>
      <c r="G18" s="171">
        <v>0</v>
      </c>
      <c r="H18" s="171">
        <v>45</v>
      </c>
      <c r="I18" s="171">
        <v>0</v>
      </c>
      <c r="J18" s="171">
        <v>0</v>
      </c>
      <c r="K18" s="171">
        <v>180</v>
      </c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17"/>
      <c r="AD18" s="13"/>
      <c r="AI18"/>
      <c r="AJ18"/>
      <c r="AL18" s="12"/>
      <c r="AM18" s="12"/>
      <c r="AN18" s="12" t="s">
        <v>55</v>
      </c>
      <c r="AO18" s="12">
        <v>180</v>
      </c>
      <c r="AP18" s="12">
        <v>45</v>
      </c>
      <c r="AQ18" s="12">
        <v>0</v>
      </c>
      <c r="AR18" s="12">
        <v>55</v>
      </c>
      <c r="AS18" s="87">
        <v>180</v>
      </c>
      <c r="AT18" s="87">
        <v>45</v>
      </c>
      <c r="AU18" s="87">
        <v>0</v>
      </c>
      <c r="AV18" s="87">
        <v>0</v>
      </c>
      <c r="AW18" s="87">
        <v>0</v>
      </c>
      <c r="AX18" s="12">
        <v>309043.9879422448</v>
      </c>
      <c r="AY18" s="12">
        <v>255472.1271929511</v>
      </c>
      <c r="AZ18" s="12">
        <v>0</v>
      </c>
      <c r="BA18" s="12">
        <v>0</v>
      </c>
      <c r="BB18" s="12"/>
      <c r="BC18" s="117"/>
      <c r="BD18" s="12"/>
      <c r="BE18" s="12"/>
      <c r="CP18"/>
      <c r="CQ18"/>
      <c r="CR18"/>
    </row>
    <row r="19" spans="1:96" ht="18" customHeight="1">
      <c r="A19" s="171" t="s">
        <v>55</v>
      </c>
      <c r="B19" s="171">
        <v>45</v>
      </c>
      <c r="C19" s="171">
        <v>0</v>
      </c>
      <c r="D19" s="171">
        <v>55</v>
      </c>
      <c r="E19" s="171" t="s">
        <v>164</v>
      </c>
      <c r="F19" s="171">
        <v>0</v>
      </c>
      <c r="G19" s="171">
        <v>0</v>
      </c>
      <c r="H19" s="171">
        <v>45</v>
      </c>
      <c r="I19" s="171">
        <v>0</v>
      </c>
      <c r="J19" s="171">
        <v>0</v>
      </c>
      <c r="K19" s="171">
        <v>225</v>
      </c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17"/>
      <c r="AD19" s="13"/>
      <c r="AI19"/>
      <c r="AJ19"/>
      <c r="AL19" s="12"/>
      <c r="AM19" s="12"/>
      <c r="AN19" s="12" t="s">
        <v>55</v>
      </c>
      <c r="AO19" s="12">
        <v>225</v>
      </c>
      <c r="AP19" s="12">
        <v>45</v>
      </c>
      <c r="AQ19" s="12">
        <v>0</v>
      </c>
      <c r="AR19" s="12">
        <v>55</v>
      </c>
      <c r="AS19" s="87">
        <v>225</v>
      </c>
      <c r="AT19" s="87">
        <v>45</v>
      </c>
      <c r="AU19" s="87">
        <v>0</v>
      </c>
      <c r="AV19" s="87">
        <v>0</v>
      </c>
      <c r="AW19" s="87">
        <v>0</v>
      </c>
      <c r="AX19" s="12">
        <v>308137.2379422448</v>
      </c>
      <c r="AY19" s="12">
        <v>254565.3771929511</v>
      </c>
      <c r="AZ19" s="12">
        <v>0</v>
      </c>
      <c r="BA19" s="12">
        <v>0</v>
      </c>
      <c r="BB19" s="12"/>
      <c r="BC19" s="117"/>
      <c r="BD19" s="12"/>
      <c r="BE19" s="12"/>
      <c r="CP19"/>
      <c r="CQ19"/>
      <c r="CR19"/>
    </row>
    <row r="20" spans="1:96" ht="18" customHeight="1">
      <c r="A20" s="171" t="s">
        <v>55</v>
      </c>
      <c r="B20" s="171">
        <v>45</v>
      </c>
      <c r="C20" s="171">
        <v>0</v>
      </c>
      <c r="D20" s="171">
        <v>55</v>
      </c>
      <c r="E20" s="171" t="s">
        <v>164</v>
      </c>
      <c r="F20" s="171">
        <v>0</v>
      </c>
      <c r="G20" s="171">
        <v>0</v>
      </c>
      <c r="H20" s="171">
        <v>45</v>
      </c>
      <c r="I20" s="171">
        <v>0</v>
      </c>
      <c r="J20" s="171">
        <v>0</v>
      </c>
      <c r="K20" s="171">
        <v>270</v>
      </c>
      <c r="L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17"/>
      <c r="AD20" s="13"/>
      <c r="AI20"/>
      <c r="AJ20"/>
      <c r="AL20" s="12"/>
      <c r="AM20" s="12"/>
      <c r="AN20" s="12" t="s">
        <v>55</v>
      </c>
      <c r="AO20" s="12">
        <v>270</v>
      </c>
      <c r="AP20" s="12">
        <v>45</v>
      </c>
      <c r="AQ20" s="12">
        <v>0</v>
      </c>
      <c r="AR20" s="12">
        <v>55</v>
      </c>
      <c r="AS20" s="87">
        <v>270</v>
      </c>
      <c r="AT20" s="87">
        <v>45</v>
      </c>
      <c r="AU20" s="87">
        <v>0</v>
      </c>
      <c r="AV20" s="87">
        <v>0</v>
      </c>
      <c r="AW20" s="87">
        <v>0</v>
      </c>
      <c r="AX20" s="12">
        <v>307230.4879422448</v>
      </c>
      <c r="AY20" s="12">
        <v>253658.6271929511</v>
      </c>
      <c r="AZ20" s="12">
        <v>0</v>
      </c>
      <c r="BA20" s="12">
        <v>0</v>
      </c>
      <c r="BB20" s="12"/>
      <c r="BC20" s="117"/>
      <c r="BD20" s="12"/>
      <c r="BE20" s="12"/>
      <c r="CP20"/>
      <c r="CQ20"/>
      <c r="CR20"/>
    </row>
    <row r="21" spans="1:96">
      <c r="A21" s="171" t="s">
        <v>55</v>
      </c>
      <c r="B21" s="171">
        <v>45</v>
      </c>
      <c r="C21" s="171">
        <v>0</v>
      </c>
      <c r="D21" s="171">
        <v>55</v>
      </c>
      <c r="E21" s="171" t="s">
        <v>164</v>
      </c>
      <c r="F21" s="171">
        <v>0</v>
      </c>
      <c r="G21" s="171">
        <v>0</v>
      </c>
      <c r="H21" s="171">
        <v>45</v>
      </c>
      <c r="I21" s="171">
        <v>0</v>
      </c>
      <c r="J21" s="171">
        <v>0</v>
      </c>
      <c r="K21" s="171">
        <v>315</v>
      </c>
      <c r="L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17"/>
      <c r="AD21" s="13"/>
      <c r="AI21"/>
      <c r="AJ21"/>
      <c r="AL21" s="12"/>
      <c r="AM21" s="12"/>
      <c r="AN21" s="12" t="s">
        <v>55</v>
      </c>
      <c r="AO21" s="12">
        <v>315</v>
      </c>
      <c r="AP21" s="12">
        <v>45</v>
      </c>
      <c r="AQ21" s="12">
        <v>0</v>
      </c>
      <c r="AR21" s="12">
        <v>55</v>
      </c>
      <c r="AS21" s="87">
        <v>315</v>
      </c>
      <c r="AT21" s="87">
        <v>45</v>
      </c>
      <c r="AU21" s="87">
        <v>0</v>
      </c>
      <c r="AV21" s="87">
        <v>0</v>
      </c>
      <c r="AW21" s="87">
        <v>0</v>
      </c>
      <c r="AX21" s="12">
        <v>306323.7379422448</v>
      </c>
      <c r="AY21" s="12">
        <v>252751.8771929511</v>
      </c>
      <c r="AZ21" s="12">
        <v>0</v>
      </c>
      <c r="BA21" s="12">
        <v>0</v>
      </c>
      <c r="BB21" s="12"/>
      <c r="BC21" s="117"/>
      <c r="BD21" s="12"/>
      <c r="BE21" s="12"/>
      <c r="CP21"/>
      <c r="CQ21"/>
      <c r="CR21"/>
    </row>
    <row r="22" spans="1:96">
      <c r="A22" s="171" t="s">
        <v>55</v>
      </c>
      <c r="B22" s="171">
        <v>45</v>
      </c>
      <c r="C22" s="171">
        <v>0</v>
      </c>
      <c r="D22" s="171">
        <v>55</v>
      </c>
      <c r="E22" s="171" t="s">
        <v>164</v>
      </c>
      <c r="F22" s="171">
        <v>0</v>
      </c>
      <c r="G22" s="171">
        <v>0</v>
      </c>
      <c r="H22" s="171">
        <v>45</v>
      </c>
      <c r="I22" s="171">
        <v>0</v>
      </c>
      <c r="J22" s="171">
        <v>0</v>
      </c>
      <c r="K22" s="171">
        <v>360</v>
      </c>
      <c r="L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17"/>
      <c r="AD22" s="13"/>
      <c r="AI22"/>
      <c r="AJ22"/>
      <c r="AL22" s="12"/>
      <c r="AM22" s="12"/>
      <c r="AN22" s="12" t="s">
        <v>55</v>
      </c>
      <c r="AO22" s="12">
        <v>360</v>
      </c>
      <c r="AP22" s="12">
        <v>45</v>
      </c>
      <c r="AQ22" s="12">
        <v>0</v>
      </c>
      <c r="AR22" s="12">
        <v>55</v>
      </c>
      <c r="AS22" s="87">
        <v>360</v>
      </c>
      <c r="AT22" s="87">
        <v>45</v>
      </c>
      <c r="AU22" s="87">
        <v>0</v>
      </c>
      <c r="AV22" s="87">
        <v>0</v>
      </c>
      <c r="AW22" s="87">
        <v>0</v>
      </c>
      <c r="AX22" s="12">
        <v>305416.9879422448</v>
      </c>
      <c r="AY22" s="12">
        <v>251845.1271929511</v>
      </c>
      <c r="AZ22" s="12">
        <v>0</v>
      </c>
      <c r="BA22" s="12">
        <v>0</v>
      </c>
      <c r="BB22" s="12"/>
      <c r="BC22" s="117"/>
      <c r="BD22" s="12"/>
      <c r="BE22" s="12"/>
      <c r="CP22"/>
      <c r="CQ22"/>
      <c r="CR22"/>
    </row>
    <row r="23" spans="1:96">
      <c r="A23" s="171" t="s">
        <v>55</v>
      </c>
      <c r="B23" s="171">
        <v>45</v>
      </c>
      <c r="C23" s="171">
        <v>0</v>
      </c>
      <c r="D23" s="171">
        <v>55</v>
      </c>
      <c r="E23" s="171" t="s">
        <v>164</v>
      </c>
      <c r="F23" s="171">
        <v>0</v>
      </c>
      <c r="G23" s="171">
        <v>0</v>
      </c>
      <c r="H23" s="171">
        <v>45</v>
      </c>
      <c r="I23" s="171">
        <v>0</v>
      </c>
      <c r="J23" s="171">
        <v>0</v>
      </c>
      <c r="K23" s="171">
        <v>405</v>
      </c>
      <c r="L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17"/>
      <c r="AD23" s="13"/>
      <c r="AI23"/>
      <c r="AJ23"/>
      <c r="AL23" s="12"/>
      <c r="AM23" s="12"/>
      <c r="AN23" s="12" t="s">
        <v>55</v>
      </c>
      <c r="AO23" s="12">
        <v>405</v>
      </c>
      <c r="AP23" s="12">
        <v>45</v>
      </c>
      <c r="AQ23" s="12">
        <v>0</v>
      </c>
      <c r="AR23" s="12">
        <v>55</v>
      </c>
      <c r="AS23" s="87">
        <v>405</v>
      </c>
      <c r="AT23" s="87">
        <v>45</v>
      </c>
      <c r="AU23" s="87">
        <v>0</v>
      </c>
      <c r="AV23" s="87">
        <v>0</v>
      </c>
      <c r="AW23" s="87">
        <v>0</v>
      </c>
      <c r="AX23" s="12">
        <v>304510.2379422448</v>
      </c>
      <c r="AY23" s="12">
        <v>250938.3771929511</v>
      </c>
      <c r="AZ23" s="12">
        <v>0</v>
      </c>
      <c r="BA23" s="12">
        <v>0</v>
      </c>
      <c r="BB23" s="12"/>
      <c r="BC23" s="117"/>
      <c r="BD23" s="12"/>
      <c r="BE23" s="12"/>
      <c r="CP23"/>
      <c r="CQ23"/>
      <c r="CR23"/>
    </row>
    <row r="24" spans="1:96">
      <c r="A24" s="171" t="s">
        <v>55</v>
      </c>
      <c r="B24" s="171">
        <v>45</v>
      </c>
      <c r="C24" s="171">
        <v>0</v>
      </c>
      <c r="D24" s="171">
        <v>55</v>
      </c>
      <c r="E24" s="171" t="s">
        <v>164</v>
      </c>
      <c r="F24" s="171">
        <v>0</v>
      </c>
      <c r="G24" s="171">
        <v>0</v>
      </c>
      <c r="H24" s="171">
        <v>45</v>
      </c>
      <c r="I24" s="171">
        <v>0</v>
      </c>
      <c r="J24" s="171">
        <v>0</v>
      </c>
      <c r="K24" s="171">
        <v>450</v>
      </c>
      <c r="L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17"/>
      <c r="AD24" s="13"/>
      <c r="AI24"/>
      <c r="AJ24"/>
      <c r="AL24" s="12"/>
      <c r="AM24" s="12"/>
      <c r="AN24" s="12" t="s">
        <v>55</v>
      </c>
      <c r="AO24" s="12">
        <v>450</v>
      </c>
      <c r="AP24" s="12">
        <v>45</v>
      </c>
      <c r="AQ24" s="12">
        <v>0</v>
      </c>
      <c r="AR24" s="12">
        <v>55</v>
      </c>
      <c r="AS24" s="87">
        <v>450</v>
      </c>
      <c r="AT24" s="87">
        <v>45</v>
      </c>
      <c r="AU24" s="87">
        <v>0</v>
      </c>
      <c r="AV24" s="87">
        <v>0</v>
      </c>
      <c r="AW24" s="87">
        <v>0</v>
      </c>
      <c r="AX24" s="12">
        <v>303603.4879422448</v>
      </c>
      <c r="AY24" s="12">
        <v>250031.6271929511</v>
      </c>
      <c r="AZ24" s="12">
        <v>0</v>
      </c>
      <c r="BA24" s="12">
        <v>0</v>
      </c>
      <c r="BB24" s="12"/>
      <c r="BC24" s="117"/>
      <c r="BD24" s="12"/>
      <c r="BE24" s="12"/>
      <c r="CP24"/>
      <c r="CQ24"/>
      <c r="CR24"/>
    </row>
    <row r="25" spans="1:96">
      <c r="A25" s="171" t="s">
        <v>55</v>
      </c>
      <c r="B25" s="171">
        <v>45</v>
      </c>
      <c r="C25" s="171">
        <v>0</v>
      </c>
      <c r="D25" s="171">
        <v>55</v>
      </c>
      <c r="E25" s="171" t="s">
        <v>164</v>
      </c>
      <c r="F25" s="171">
        <v>0</v>
      </c>
      <c r="G25" s="171">
        <v>0</v>
      </c>
      <c r="H25" s="171">
        <v>45</v>
      </c>
      <c r="I25" s="171">
        <v>0</v>
      </c>
      <c r="J25" s="171">
        <v>0</v>
      </c>
      <c r="K25" s="171">
        <v>495</v>
      </c>
      <c r="L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17"/>
      <c r="AD25" s="13"/>
      <c r="AI25"/>
      <c r="AJ25"/>
      <c r="AL25" s="12"/>
      <c r="AM25" s="12"/>
      <c r="AN25" s="12" t="s">
        <v>55</v>
      </c>
      <c r="AO25" s="12">
        <v>495</v>
      </c>
      <c r="AP25" s="12">
        <v>45</v>
      </c>
      <c r="AQ25" s="12">
        <v>0</v>
      </c>
      <c r="AR25" s="12">
        <v>55</v>
      </c>
      <c r="AS25" s="87">
        <v>495</v>
      </c>
      <c r="AT25" s="87">
        <v>45</v>
      </c>
      <c r="AU25" s="87">
        <v>0</v>
      </c>
      <c r="AV25" s="87">
        <v>0</v>
      </c>
      <c r="AW25" s="87">
        <v>0</v>
      </c>
      <c r="AX25" s="12">
        <v>302696.7379422448</v>
      </c>
      <c r="AY25" s="12">
        <v>249124.8771929511</v>
      </c>
      <c r="AZ25" s="12">
        <v>0</v>
      </c>
      <c r="BA25" s="12">
        <v>0</v>
      </c>
      <c r="BB25" s="12"/>
      <c r="BC25" s="117"/>
      <c r="BD25" s="12"/>
      <c r="BE25" s="12"/>
      <c r="CP25"/>
      <c r="CQ25"/>
      <c r="CR25"/>
    </row>
    <row r="26" spans="1:96">
      <c r="A26" s="171" t="s">
        <v>55</v>
      </c>
      <c r="B26" s="171">
        <v>45</v>
      </c>
      <c r="C26" s="171">
        <v>0</v>
      </c>
      <c r="D26" s="171">
        <v>55</v>
      </c>
      <c r="E26" s="171" t="s">
        <v>164</v>
      </c>
      <c r="F26" s="171">
        <v>0</v>
      </c>
      <c r="G26" s="171">
        <v>0</v>
      </c>
      <c r="H26" s="171">
        <v>45</v>
      </c>
      <c r="I26" s="171">
        <v>0</v>
      </c>
      <c r="J26" s="171">
        <v>0</v>
      </c>
      <c r="K26" s="171">
        <v>540</v>
      </c>
      <c r="L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17"/>
      <c r="AD26" s="13"/>
      <c r="AI26"/>
      <c r="AJ26"/>
      <c r="AL26" s="12"/>
      <c r="AM26" s="12"/>
      <c r="AN26" s="12" t="s">
        <v>55</v>
      </c>
      <c r="AO26" s="12">
        <v>540</v>
      </c>
      <c r="AP26" s="12">
        <v>45</v>
      </c>
      <c r="AQ26" s="12">
        <v>0</v>
      </c>
      <c r="AR26" s="12">
        <v>55</v>
      </c>
      <c r="AS26" s="87">
        <v>540</v>
      </c>
      <c r="AT26" s="87">
        <v>45</v>
      </c>
      <c r="AU26" s="87">
        <v>0</v>
      </c>
      <c r="AV26" s="87">
        <v>0</v>
      </c>
      <c r="AW26" s="87">
        <v>0</v>
      </c>
      <c r="AX26" s="12">
        <v>301789.9879422448</v>
      </c>
      <c r="AY26" s="12">
        <v>248218.1271929511</v>
      </c>
      <c r="AZ26" s="12">
        <v>0</v>
      </c>
      <c r="BA26" s="12">
        <v>0</v>
      </c>
      <c r="BB26" s="12"/>
      <c r="BC26" s="117"/>
      <c r="BD26" s="12"/>
      <c r="BE26" s="12"/>
      <c r="CP26"/>
      <c r="CQ26"/>
      <c r="CR26"/>
    </row>
    <row r="27" spans="1:96">
      <c r="A27" s="171" t="s">
        <v>55</v>
      </c>
      <c r="B27" s="171">
        <v>45</v>
      </c>
      <c r="C27" s="171">
        <v>0</v>
      </c>
      <c r="D27" s="171">
        <v>55</v>
      </c>
      <c r="E27" s="171" t="s">
        <v>164</v>
      </c>
      <c r="F27" s="171">
        <v>0</v>
      </c>
      <c r="G27" s="171">
        <v>0</v>
      </c>
      <c r="H27" s="171">
        <v>45</v>
      </c>
      <c r="I27" s="171">
        <v>0</v>
      </c>
      <c r="J27" s="171">
        <v>0</v>
      </c>
      <c r="K27" s="171">
        <v>585</v>
      </c>
      <c r="L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17"/>
      <c r="AD27" s="13"/>
      <c r="AI27"/>
      <c r="AJ27"/>
      <c r="AL27" s="12"/>
      <c r="AM27" s="12"/>
      <c r="AN27" s="12" t="s">
        <v>55</v>
      </c>
      <c r="AO27" s="12">
        <v>585</v>
      </c>
      <c r="AP27" s="12">
        <v>45</v>
      </c>
      <c r="AQ27" s="12">
        <v>0</v>
      </c>
      <c r="AR27" s="12">
        <v>55</v>
      </c>
      <c r="AS27" s="87">
        <v>585</v>
      </c>
      <c r="AT27" s="87">
        <v>45</v>
      </c>
      <c r="AU27" s="87">
        <v>0</v>
      </c>
      <c r="AV27" s="87">
        <v>0</v>
      </c>
      <c r="AW27" s="87">
        <v>0</v>
      </c>
      <c r="AX27" s="12">
        <v>300883.2379422448</v>
      </c>
      <c r="AY27" s="12">
        <v>247311.3771929511</v>
      </c>
      <c r="AZ27" s="12">
        <v>0</v>
      </c>
      <c r="BA27" s="12">
        <v>0</v>
      </c>
      <c r="BB27" s="12"/>
      <c r="BC27" s="117"/>
      <c r="BD27" s="12"/>
      <c r="BE27" s="12"/>
      <c r="CP27"/>
      <c r="CQ27"/>
      <c r="CR27"/>
    </row>
    <row r="28" spans="1:96">
      <c r="A28" s="171" t="s">
        <v>55</v>
      </c>
      <c r="B28" s="171">
        <v>45</v>
      </c>
      <c r="C28" s="171">
        <v>0</v>
      </c>
      <c r="D28" s="171">
        <v>55</v>
      </c>
      <c r="E28" s="171" t="s">
        <v>164</v>
      </c>
      <c r="F28" s="171">
        <v>0</v>
      </c>
      <c r="G28" s="171">
        <v>0</v>
      </c>
      <c r="H28" s="171">
        <v>45</v>
      </c>
      <c r="I28" s="171">
        <v>0</v>
      </c>
      <c r="J28" s="171">
        <v>0</v>
      </c>
      <c r="K28" s="171">
        <v>630</v>
      </c>
      <c r="L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17"/>
      <c r="AD28" s="13"/>
      <c r="AI28"/>
      <c r="AJ28"/>
      <c r="AL28" s="12"/>
      <c r="AM28" s="12"/>
      <c r="AN28" s="12" t="s">
        <v>55</v>
      </c>
      <c r="AO28" s="12">
        <v>630</v>
      </c>
      <c r="AP28" s="12">
        <v>45</v>
      </c>
      <c r="AQ28" s="12">
        <v>0</v>
      </c>
      <c r="AR28" s="12">
        <v>55</v>
      </c>
      <c r="AS28" s="87">
        <v>630</v>
      </c>
      <c r="AT28" s="87">
        <v>45</v>
      </c>
      <c r="AU28" s="87">
        <v>0</v>
      </c>
      <c r="AV28" s="87">
        <v>0</v>
      </c>
      <c r="AW28" s="87">
        <v>0</v>
      </c>
      <c r="AX28" s="12">
        <v>299976.4879422448</v>
      </c>
      <c r="AY28" s="12">
        <v>246404.6271929511</v>
      </c>
      <c r="AZ28" s="12">
        <v>0</v>
      </c>
      <c r="BA28" s="12">
        <v>0</v>
      </c>
      <c r="BB28" s="12"/>
      <c r="BC28" s="117"/>
      <c r="BD28" s="12"/>
      <c r="BE28" s="12"/>
      <c r="CP28"/>
      <c r="CQ28"/>
      <c r="CR28"/>
    </row>
    <row r="29" spans="1:96">
      <c r="A29" s="171" t="s">
        <v>55</v>
      </c>
      <c r="B29" s="171">
        <v>45</v>
      </c>
      <c r="C29" s="171">
        <v>0</v>
      </c>
      <c r="D29" s="171">
        <v>55</v>
      </c>
      <c r="E29" s="171" t="s">
        <v>164</v>
      </c>
      <c r="F29" s="171">
        <v>0</v>
      </c>
      <c r="G29" s="171">
        <v>0</v>
      </c>
      <c r="H29" s="171">
        <v>45</v>
      </c>
      <c r="I29" s="171">
        <v>0</v>
      </c>
      <c r="J29" s="171">
        <v>0</v>
      </c>
      <c r="K29" s="171">
        <v>675</v>
      </c>
      <c r="L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17"/>
      <c r="AD29" s="13"/>
      <c r="AI29"/>
      <c r="AJ29"/>
      <c r="AL29" s="12"/>
      <c r="AM29" s="12"/>
      <c r="AN29" s="12" t="s">
        <v>55</v>
      </c>
      <c r="AO29" s="12">
        <v>675</v>
      </c>
      <c r="AP29" s="12">
        <v>45</v>
      </c>
      <c r="AQ29" s="12">
        <v>0</v>
      </c>
      <c r="AR29" s="12">
        <v>55</v>
      </c>
      <c r="AS29" s="87">
        <v>675</v>
      </c>
      <c r="AT29" s="87">
        <v>45</v>
      </c>
      <c r="AU29" s="87">
        <v>0</v>
      </c>
      <c r="AV29" s="87">
        <v>0</v>
      </c>
      <c r="AW29" s="87">
        <v>0</v>
      </c>
      <c r="AX29" s="12">
        <v>299069.7379422448</v>
      </c>
      <c r="AY29" s="12">
        <v>245497.8771929511</v>
      </c>
      <c r="AZ29" s="12">
        <v>0</v>
      </c>
      <c r="BA29" s="12">
        <v>0</v>
      </c>
      <c r="BB29" s="12"/>
      <c r="BC29" s="117"/>
      <c r="BD29" s="12"/>
      <c r="BE29" s="12"/>
      <c r="CP29"/>
      <c r="CQ29"/>
      <c r="CR29"/>
    </row>
    <row r="30" spans="1:96">
      <c r="A30" s="171" t="s">
        <v>55</v>
      </c>
      <c r="B30" s="171">
        <v>45</v>
      </c>
      <c r="C30" s="171">
        <v>0</v>
      </c>
      <c r="D30" s="171">
        <v>55</v>
      </c>
      <c r="E30" s="171" t="s">
        <v>164</v>
      </c>
      <c r="F30" s="171">
        <v>0</v>
      </c>
      <c r="G30" s="171">
        <v>0</v>
      </c>
      <c r="H30" s="171">
        <v>45</v>
      </c>
      <c r="I30" s="171">
        <v>0</v>
      </c>
      <c r="J30" s="171">
        <v>0</v>
      </c>
      <c r="K30" s="171">
        <v>720</v>
      </c>
      <c r="L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17"/>
      <c r="AD30" s="13"/>
      <c r="AI30"/>
      <c r="AJ30"/>
      <c r="AL30" s="12"/>
      <c r="AM30" s="12"/>
      <c r="AN30" s="12" t="s">
        <v>55</v>
      </c>
      <c r="AO30" s="12">
        <v>720</v>
      </c>
      <c r="AP30" s="12">
        <v>45</v>
      </c>
      <c r="AQ30" s="12">
        <v>0</v>
      </c>
      <c r="AR30" s="12">
        <v>55</v>
      </c>
      <c r="AS30" s="87">
        <v>720</v>
      </c>
      <c r="AT30" s="87">
        <v>45</v>
      </c>
      <c r="AU30" s="87">
        <v>0</v>
      </c>
      <c r="AV30" s="87">
        <v>0</v>
      </c>
      <c r="AW30" s="87">
        <v>0</v>
      </c>
      <c r="AX30" s="12">
        <v>298162.9879422448</v>
      </c>
      <c r="AY30" s="12">
        <v>244591.1271929511</v>
      </c>
      <c r="AZ30" s="12">
        <v>0</v>
      </c>
      <c r="BA30" s="12">
        <v>0</v>
      </c>
      <c r="BB30" s="12"/>
      <c r="BC30" s="117"/>
      <c r="BD30" s="12"/>
      <c r="BE30" s="12"/>
      <c r="CP30"/>
      <c r="CQ30"/>
      <c r="CR30"/>
    </row>
    <row r="31" spans="1:96">
      <c r="A31" s="171" t="s">
        <v>55</v>
      </c>
      <c r="B31" s="171">
        <v>45</v>
      </c>
      <c r="C31" s="171">
        <v>0</v>
      </c>
      <c r="D31" s="171">
        <v>55</v>
      </c>
      <c r="E31" s="171" t="s">
        <v>164</v>
      </c>
      <c r="F31" s="171">
        <v>0</v>
      </c>
      <c r="G31" s="171">
        <v>0</v>
      </c>
      <c r="H31" s="171">
        <v>45</v>
      </c>
      <c r="I31" s="171">
        <v>0</v>
      </c>
      <c r="J31" s="171">
        <v>0</v>
      </c>
      <c r="K31" s="171">
        <v>765</v>
      </c>
      <c r="L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17"/>
      <c r="AD31" s="13"/>
      <c r="AI31"/>
      <c r="AJ31"/>
      <c r="AL31" s="12"/>
      <c r="AM31" s="12"/>
      <c r="AN31" s="12" t="s">
        <v>55</v>
      </c>
      <c r="AO31" s="12">
        <v>765</v>
      </c>
      <c r="AP31" s="12">
        <v>45</v>
      </c>
      <c r="AQ31" s="12">
        <v>0</v>
      </c>
      <c r="AR31" s="12">
        <v>55</v>
      </c>
      <c r="AS31" s="87">
        <v>765</v>
      </c>
      <c r="AT31" s="87">
        <v>45</v>
      </c>
      <c r="AU31" s="87">
        <v>0</v>
      </c>
      <c r="AV31" s="87">
        <v>0</v>
      </c>
      <c r="AW31" s="87">
        <v>0</v>
      </c>
      <c r="AX31" s="12">
        <v>297256.2379422448</v>
      </c>
      <c r="AY31" s="12">
        <v>243684.3771929511</v>
      </c>
      <c r="AZ31" s="12">
        <v>0</v>
      </c>
      <c r="BA31" s="12">
        <v>0</v>
      </c>
      <c r="BB31" s="12"/>
      <c r="BC31" s="117"/>
      <c r="BD31" s="12"/>
      <c r="BE31" s="12"/>
      <c r="CP31"/>
      <c r="CQ31"/>
      <c r="CR31"/>
    </row>
    <row r="32" spans="1:96">
      <c r="A32" s="171" t="s">
        <v>55</v>
      </c>
      <c r="B32" s="171">
        <v>45</v>
      </c>
      <c r="C32" s="171">
        <v>0</v>
      </c>
      <c r="D32" s="171">
        <v>55</v>
      </c>
      <c r="E32" s="171" t="s">
        <v>164</v>
      </c>
      <c r="F32" s="171">
        <v>0</v>
      </c>
      <c r="G32" s="171">
        <v>0</v>
      </c>
      <c r="H32" s="171">
        <v>45</v>
      </c>
      <c r="I32" s="171">
        <v>0</v>
      </c>
      <c r="J32" s="171">
        <v>0</v>
      </c>
      <c r="K32" s="171">
        <v>810</v>
      </c>
      <c r="L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17"/>
      <c r="AD32" s="13"/>
      <c r="AI32"/>
      <c r="AJ32"/>
      <c r="AL32" s="12"/>
      <c r="AM32" s="12"/>
      <c r="AN32" s="12" t="s">
        <v>55</v>
      </c>
      <c r="AO32" s="12">
        <v>810</v>
      </c>
      <c r="AP32" s="12">
        <v>45</v>
      </c>
      <c r="AQ32" s="12">
        <v>0</v>
      </c>
      <c r="AR32" s="12">
        <v>55</v>
      </c>
      <c r="AS32" s="87">
        <v>810</v>
      </c>
      <c r="AT32" s="87">
        <v>45</v>
      </c>
      <c r="AU32" s="87">
        <v>0</v>
      </c>
      <c r="AV32" s="87">
        <v>0</v>
      </c>
      <c r="AW32" s="87">
        <v>0</v>
      </c>
      <c r="AX32" s="12">
        <v>296349.4879422448</v>
      </c>
      <c r="AY32" s="12">
        <v>242777.6271929511</v>
      </c>
      <c r="AZ32" s="12">
        <v>0</v>
      </c>
      <c r="BA32" s="12">
        <v>0</v>
      </c>
      <c r="BB32" s="12"/>
      <c r="BC32" s="117"/>
      <c r="BD32" s="12"/>
      <c r="BE32" s="12"/>
      <c r="CP32"/>
      <c r="CQ32"/>
      <c r="CR32"/>
    </row>
    <row r="33" spans="1:96">
      <c r="A33" s="171" t="s">
        <v>55</v>
      </c>
      <c r="B33" s="171">
        <v>45</v>
      </c>
      <c r="C33" s="171">
        <v>0</v>
      </c>
      <c r="D33" s="171">
        <v>55</v>
      </c>
      <c r="E33" s="171" t="s">
        <v>164</v>
      </c>
      <c r="F33" s="171">
        <v>0</v>
      </c>
      <c r="G33" s="171">
        <v>0</v>
      </c>
      <c r="H33" s="171">
        <v>45</v>
      </c>
      <c r="I33" s="171">
        <v>0</v>
      </c>
      <c r="J33" s="171">
        <v>0</v>
      </c>
      <c r="K33" s="171">
        <v>855</v>
      </c>
      <c r="L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17"/>
      <c r="AD33" s="13"/>
      <c r="AI33"/>
      <c r="AJ33"/>
      <c r="AL33" s="12"/>
      <c r="AM33" s="12"/>
      <c r="AN33" s="12" t="s">
        <v>55</v>
      </c>
      <c r="AO33" s="12">
        <v>855</v>
      </c>
      <c r="AP33" s="12">
        <v>45</v>
      </c>
      <c r="AQ33" s="12">
        <v>0</v>
      </c>
      <c r="AR33" s="12">
        <v>55</v>
      </c>
      <c r="AS33" s="87">
        <v>855</v>
      </c>
      <c r="AT33" s="87">
        <v>45</v>
      </c>
      <c r="AU33" s="87">
        <v>0</v>
      </c>
      <c r="AV33" s="87">
        <v>0</v>
      </c>
      <c r="AW33" s="87">
        <v>0</v>
      </c>
      <c r="AX33" s="12">
        <v>295442.7379422448</v>
      </c>
      <c r="AY33" s="12">
        <v>241870.8771929511</v>
      </c>
      <c r="AZ33" s="12">
        <v>0</v>
      </c>
      <c r="BA33" s="12">
        <v>0</v>
      </c>
      <c r="BB33" s="12"/>
      <c r="BC33" s="117"/>
      <c r="BD33" s="12"/>
      <c r="BE33" s="12"/>
      <c r="CP33"/>
      <c r="CQ33"/>
      <c r="CR33"/>
    </row>
    <row r="34" spans="1:96">
      <c r="A34" s="171" t="s">
        <v>55</v>
      </c>
      <c r="B34" s="171">
        <v>45</v>
      </c>
      <c r="C34" s="171">
        <v>0</v>
      </c>
      <c r="D34" s="171">
        <v>55</v>
      </c>
      <c r="E34" s="171" t="s">
        <v>164</v>
      </c>
      <c r="F34" s="171">
        <v>-5.4925750729273764E-3</v>
      </c>
      <c r="G34" s="171">
        <v>2.8428237325180579E-3</v>
      </c>
      <c r="H34" s="171">
        <v>44.999981367894115</v>
      </c>
      <c r="I34" s="171">
        <v>-5.4925750729273764E-3</v>
      </c>
      <c r="J34" s="171">
        <v>2.8428237325180579E-3</v>
      </c>
      <c r="K34" s="171">
        <v>899.99998136789407</v>
      </c>
      <c r="L34" s="12"/>
      <c r="T34" s="12"/>
      <c r="U34" s="12"/>
      <c r="V34" s="12"/>
      <c r="W34" s="12"/>
      <c r="X34" s="12"/>
      <c r="Y34" s="12"/>
      <c r="Z34" s="12"/>
      <c r="AA34" s="12"/>
      <c r="AB34" s="12"/>
      <c r="AC34" s="117"/>
      <c r="AD34" s="13"/>
      <c r="AI34"/>
      <c r="AJ34"/>
      <c r="AL34" s="12"/>
      <c r="AM34" s="12"/>
      <c r="AN34" s="12" t="s">
        <v>55</v>
      </c>
      <c r="AO34" s="12">
        <v>900</v>
      </c>
      <c r="AP34" s="12">
        <v>45</v>
      </c>
      <c r="AQ34" s="12">
        <v>0</v>
      </c>
      <c r="AR34" s="12">
        <v>55</v>
      </c>
      <c r="AS34" s="87">
        <v>899.99998136789407</v>
      </c>
      <c r="AT34" s="87">
        <v>44.999981367894115</v>
      </c>
      <c r="AU34" s="87">
        <v>1.0034886842436674E-3</v>
      </c>
      <c r="AV34" s="87">
        <v>3.3862280764528405</v>
      </c>
      <c r="AW34" s="87">
        <v>1.0034886842436674E-3</v>
      </c>
      <c r="AX34" s="12">
        <v>294535.9879422448</v>
      </c>
      <c r="AY34" s="12">
        <v>240964.1271929511</v>
      </c>
      <c r="AZ34" s="12">
        <v>0</v>
      </c>
      <c r="BA34" s="12">
        <v>0</v>
      </c>
      <c r="BB34" s="12"/>
      <c r="BC34" s="117"/>
      <c r="BD34" s="12"/>
      <c r="BE34" s="12"/>
      <c r="CP34"/>
      <c r="CQ34"/>
      <c r="CR34"/>
    </row>
    <row r="35" spans="1:96">
      <c r="A35" s="171" t="s">
        <v>56</v>
      </c>
      <c r="B35" s="171">
        <v>112.89247697741257</v>
      </c>
      <c r="C35" s="171">
        <v>9.0313981581930075E-2</v>
      </c>
      <c r="D35" s="171">
        <v>359.76052688075566</v>
      </c>
      <c r="E35" s="171" t="s">
        <v>236</v>
      </c>
      <c r="F35" s="171">
        <v>0.26690148195710844</v>
      </c>
      <c r="G35" s="171">
        <v>1.3047197669299217E-3</v>
      </c>
      <c r="H35" s="171">
        <v>112.89214977817217</v>
      </c>
      <c r="I35" s="171">
        <v>0.26140890688418106</v>
      </c>
      <c r="J35" s="171">
        <v>4.1475434994479796E-3</v>
      </c>
      <c r="K35" s="171">
        <v>1012.8921311460663</v>
      </c>
      <c r="L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17"/>
      <c r="AD35" s="13"/>
      <c r="AI35"/>
      <c r="AJ35"/>
      <c r="AL35" s="12"/>
      <c r="AM35" s="12"/>
      <c r="AN35" s="12" t="s">
        <v>56</v>
      </c>
      <c r="AO35" s="12">
        <v>1012.8924769774126</v>
      </c>
      <c r="AP35" s="12">
        <v>112.89247697741257</v>
      </c>
      <c r="AQ35" s="12">
        <v>9.0313981581930075E-2</v>
      </c>
      <c r="AR35" s="12">
        <v>359.76052688075566</v>
      </c>
      <c r="AS35" s="87">
        <v>1012.8921311460663</v>
      </c>
      <c r="AT35" s="87">
        <v>112.89214977817217</v>
      </c>
      <c r="AU35" s="87">
        <v>8.0000000000000015E-4</v>
      </c>
      <c r="AV35" s="87">
        <v>1.3496572664557704</v>
      </c>
      <c r="AW35" s="87">
        <v>2.2725006429804464E-3</v>
      </c>
      <c r="AX35" s="12">
        <v>293629.23831768171</v>
      </c>
      <c r="AY35" s="12">
        <v>240057.37756838804</v>
      </c>
      <c r="AZ35" s="12">
        <v>1016918.7959883504</v>
      </c>
      <c r="BA35" s="12">
        <v>1269649.8510069896</v>
      </c>
      <c r="BB35" s="12"/>
      <c r="BC35" s="117"/>
      <c r="BD35" s="12"/>
      <c r="BE35" s="12"/>
      <c r="CP35"/>
      <c r="CQ35"/>
      <c r="CR35"/>
    </row>
    <row r="36" spans="1:96">
      <c r="A36" s="171" t="s">
        <v>56</v>
      </c>
      <c r="B36" s="171">
        <v>112.89247697741257</v>
      </c>
      <c r="C36" s="171">
        <v>0.18062796316386015</v>
      </c>
      <c r="D36" s="171">
        <v>359.73230376151128</v>
      </c>
      <c r="E36" s="171" t="s">
        <v>62</v>
      </c>
      <c r="F36" s="171">
        <v>0.44483394151028388</v>
      </c>
      <c r="G36" s="171">
        <v>2.3936326157342363E-3</v>
      </c>
      <c r="H36" s="171">
        <v>112.89158886592509</v>
      </c>
      <c r="I36" s="171">
        <v>0.70624284839446494</v>
      </c>
      <c r="J36" s="171">
        <v>3.3398745094485158</v>
      </c>
      <c r="K36" s="171">
        <v>1125.7837200119914</v>
      </c>
      <c r="L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17"/>
      <c r="AD36" s="13"/>
      <c r="AI36"/>
      <c r="AJ36"/>
      <c r="AL36" s="12"/>
      <c r="AM36" s="12"/>
      <c r="AN36" s="12" t="s">
        <v>56</v>
      </c>
      <c r="AO36" s="12">
        <v>1125.7849539548251</v>
      </c>
      <c r="AP36" s="12">
        <v>112.89247697741257</v>
      </c>
      <c r="AQ36" s="12">
        <v>0.18062796316386015</v>
      </c>
      <c r="AR36" s="12">
        <v>359.73230376151128</v>
      </c>
      <c r="AS36" s="87">
        <v>1125.7837200119914</v>
      </c>
      <c r="AT36" s="87">
        <v>112.89158886592509</v>
      </c>
      <c r="AU36" s="87">
        <v>8.0000000000000004E-4</v>
      </c>
      <c r="AV36" s="87">
        <v>-2.5000000000005134E-4</v>
      </c>
      <c r="AW36" s="87">
        <v>8.0000038807826769E-4</v>
      </c>
      <c r="AX36" s="12">
        <v>274747.54519675818</v>
      </c>
      <c r="AY36" s="12">
        <v>226483.46650047199</v>
      </c>
      <c r="AZ36" s="12">
        <v>334786.79252462235</v>
      </c>
      <c r="BA36" s="12">
        <v>728494.14550360444</v>
      </c>
      <c r="BB36" s="12"/>
      <c r="BC36" s="117"/>
      <c r="BD36" s="12"/>
      <c r="BE36" s="12"/>
      <c r="CP36"/>
      <c r="CQ36"/>
      <c r="CR36"/>
    </row>
    <row r="37" spans="1:96">
      <c r="A37" s="171" t="s">
        <v>56</v>
      </c>
      <c r="B37" s="171">
        <v>112.89247697741257</v>
      </c>
      <c r="C37" s="171">
        <v>0.2709419447457902</v>
      </c>
      <c r="D37" s="171">
        <v>359.70408064226694</v>
      </c>
      <c r="E37" s="171" t="s">
        <v>62</v>
      </c>
      <c r="F37" s="171">
        <v>0.62276424485950876</v>
      </c>
      <c r="G37" s="171">
        <v>3.65782034330168E-3</v>
      </c>
      <c r="H37" s="171">
        <v>112.89074749929632</v>
      </c>
      <c r="I37" s="171">
        <v>1.3290070932539737</v>
      </c>
      <c r="J37" s="171">
        <v>6.6768656631251506</v>
      </c>
      <c r="K37" s="171">
        <v>1238.6744675112877</v>
      </c>
      <c r="L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17"/>
      <c r="AD37" s="13"/>
      <c r="AI37"/>
      <c r="AJ37"/>
      <c r="AL37" s="12"/>
      <c r="AM37" s="12"/>
      <c r="AN37" s="12" t="s">
        <v>56</v>
      </c>
      <c r="AO37" s="12">
        <v>1238.6774309322377</v>
      </c>
      <c r="AP37" s="12">
        <v>112.89247697741257</v>
      </c>
      <c r="AQ37" s="12">
        <v>0.2709419447457902</v>
      </c>
      <c r="AR37" s="12">
        <v>359.70408064226694</v>
      </c>
      <c r="AS37" s="87">
        <v>1238.6744675112877</v>
      </c>
      <c r="AT37" s="87">
        <v>112.89074749929632</v>
      </c>
      <c r="AU37" s="87">
        <v>7.9999999999999993E-4</v>
      </c>
      <c r="AV37" s="87">
        <v>-2.4999999999979959E-4</v>
      </c>
      <c r="AW37" s="87">
        <v>8.0000087317222304E-4</v>
      </c>
      <c r="AX37" s="12">
        <v>266690.20507185621</v>
      </c>
      <c r="AY37" s="12">
        <v>220488.81187503095</v>
      </c>
      <c r="AZ37" s="12">
        <v>324864.02615832526</v>
      </c>
      <c r="BA37" s="12">
        <v>717619.67493189103</v>
      </c>
      <c r="BB37" s="12"/>
      <c r="BC37" s="117"/>
      <c r="BD37" s="12"/>
      <c r="BE37" s="12"/>
      <c r="CP37"/>
      <c r="CQ37"/>
      <c r="CR37"/>
    </row>
    <row r="38" spans="1:96">
      <c r="A38" s="171" t="s">
        <v>56</v>
      </c>
      <c r="B38" s="171">
        <v>112.89247697741257</v>
      </c>
      <c r="C38" s="171">
        <v>0.36125592632772024</v>
      </c>
      <c r="D38" s="171">
        <v>359.67585752302261</v>
      </c>
      <c r="E38" s="171" t="s">
        <v>62</v>
      </c>
      <c r="F38" s="171">
        <v>0.80069182050552279</v>
      </c>
      <c r="G38" s="171">
        <v>5.0972777099454834E-3</v>
      </c>
      <c r="H38" s="171">
        <v>112.88962568037604</v>
      </c>
      <c r="I38" s="171">
        <v>2.1296989137594964</v>
      </c>
      <c r="J38" s="171">
        <v>10.015296274168429</v>
      </c>
      <c r="K38" s="171">
        <v>1351.5640931916637</v>
      </c>
      <c r="L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17"/>
      <c r="AD38" s="13"/>
      <c r="AI38"/>
      <c r="AJ38"/>
      <c r="AL38" s="12"/>
      <c r="AM38" s="12"/>
      <c r="AN38" s="12" t="s">
        <v>56</v>
      </c>
      <c r="AO38" s="12">
        <v>1351.5699079096503</v>
      </c>
      <c r="AP38" s="12">
        <v>112.89247697741257</v>
      </c>
      <c r="AQ38" s="12">
        <v>0.36125592632772024</v>
      </c>
      <c r="AR38" s="12">
        <v>359.67585752302261</v>
      </c>
      <c r="AS38" s="87">
        <v>1351.5640931916637</v>
      </c>
      <c r="AT38" s="87">
        <v>112.88962568037604</v>
      </c>
      <c r="AU38" s="87">
        <v>7.9999999999999993E-4</v>
      </c>
      <c r="AV38" s="87">
        <v>-2.5000000000005134E-4</v>
      </c>
      <c r="AW38" s="87">
        <v>8.0000155229651944E-4</v>
      </c>
      <c r="AX38" s="12">
        <v>258695.58406285456</v>
      </c>
      <c r="AY38" s="12">
        <v>214604.39829898207</v>
      </c>
      <c r="AZ38" s="12">
        <v>315017.15854540595</v>
      </c>
      <c r="BA38" s="12">
        <v>706663.70946894889</v>
      </c>
      <c r="BB38" s="12"/>
      <c r="BC38" s="117"/>
      <c r="BD38" s="12"/>
      <c r="BE38" s="12"/>
      <c r="CP38"/>
      <c r="CQ38"/>
      <c r="CR38"/>
    </row>
    <row r="39" spans="1:96">
      <c r="A39" s="171" t="s">
        <v>56</v>
      </c>
      <c r="B39" s="171">
        <v>112.89247697741257</v>
      </c>
      <c r="C39" s="171">
        <v>0.45156990790965029</v>
      </c>
      <c r="D39" s="171">
        <v>359.64763440377823</v>
      </c>
      <c r="E39" s="171" t="s">
        <v>72</v>
      </c>
      <c r="F39" s="171">
        <v>0.97861609692256957</v>
      </c>
      <c r="G39" s="171">
        <v>6.7119985205580336E-3</v>
      </c>
      <c r="H39" s="171">
        <v>112.88822341195136</v>
      </c>
      <c r="I39" s="171">
        <v>3.1083150106820661</v>
      </c>
      <c r="J39" s="171">
        <v>13.355341606022321</v>
      </c>
      <c r="K39" s="171">
        <v>1464.4523166036151</v>
      </c>
      <c r="L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17"/>
      <c r="AD39" s="13"/>
      <c r="AI39"/>
      <c r="AJ39"/>
      <c r="AL39" s="12"/>
      <c r="AM39" s="12"/>
      <c r="AN39" s="12" t="s">
        <v>56</v>
      </c>
      <c r="AO39" s="12">
        <v>1464.4623848870629</v>
      </c>
      <c r="AP39" s="12">
        <v>112.89247697741257</v>
      </c>
      <c r="AQ39" s="12">
        <v>0.45156990790965029</v>
      </c>
      <c r="AR39" s="12">
        <v>359.64763440377823</v>
      </c>
      <c r="AS39" s="87">
        <v>1464.4523166036151</v>
      </c>
      <c r="AT39" s="87">
        <v>112.88822341195136</v>
      </c>
      <c r="AU39" s="87">
        <v>8.0000000000000015E-4</v>
      </c>
      <c r="AV39" s="87">
        <v>-2.5000000000005134E-4</v>
      </c>
      <c r="AW39" s="87">
        <v>8.0000242544391584E-4</v>
      </c>
      <c r="AX39" s="12">
        <v>250763.68605151118</v>
      </c>
      <c r="AY39" s="12">
        <v>208829.38103077465</v>
      </c>
      <c r="AZ39" s="12">
        <v>305246.25891933707</v>
      </c>
      <c r="BA39" s="12">
        <v>695622.39640739048</v>
      </c>
      <c r="BB39" s="12"/>
      <c r="BC39" s="117"/>
      <c r="BD39" s="12"/>
      <c r="BE39" s="12"/>
      <c r="CP39"/>
      <c r="CQ39"/>
      <c r="CR39"/>
    </row>
    <row r="40" spans="1:96">
      <c r="A40" s="171" t="s">
        <v>56</v>
      </c>
      <c r="B40" s="171">
        <v>112.89247697741257</v>
      </c>
      <c r="C40" s="171">
        <v>0.54188388949158039</v>
      </c>
      <c r="D40" s="171">
        <v>359.6194112845339</v>
      </c>
      <c r="E40" s="171" t="s">
        <v>72</v>
      </c>
      <c r="F40" s="171">
        <v>1.1565365026093779</v>
      </c>
      <c r="G40" s="171">
        <v>8.5019756234313067E-3</v>
      </c>
      <c r="H40" s="171">
        <v>112.88654069750534</v>
      </c>
      <c r="I40" s="171">
        <v>4.2648515132914442</v>
      </c>
      <c r="J40" s="171">
        <v>16.697176914979085</v>
      </c>
      <c r="K40" s="171">
        <v>1577.3388573011205</v>
      </c>
      <c r="L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17"/>
      <c r="AD40" s="13"/>
      <c r="AI40"/>
      <c r="AJ40"/>
      <c r="AL40" s="12"/>
      <c r="AM40" s="12"/>
      <c r="AN40" s="12" t="s">
        <v>56</v>
      </c>
      <c r="AO40" s="12">
        <v>1577.3548618644754</v>
      </c>
      <c r="AP40" s="12">
        <v>112.89247697741257</v>
      </c>
      <c r="AQ40" s="12">
        <v>0.54188388949158039</v>
      </c>
      <c r="AR40" s="12">
        <v>359.6194112845339</v>
      </c>
      <c r="AS40" s="87">
        <v>1577.3388573011205</v>
      </c>
      <c r="AT40" s="87">
        <v>112.88654069750534</v>
      </c>
      <c r="AU40" s="87">
        <v>8.0000000000000015E-4</v>
      </c>
      <c r="AV40" s="87">
        <v>-2.5000000000005134E-4</v>
      </c>
      <c r="AW40" s="87">
        <v>8.0000349260510198E-4</v>
      </c>
      <c r="AX40" s="12">
        <v>242894.51480786043</v>
      </c>
      <c r="AY40" s="12">
        <v>203162.91534943503</v>
      </c>
      <c r="AZ40" s="12">
        <v>295551.3953485727</v>
      </c>
      <c r="BA40" s="12">
        <v>684491.60343731439</v>
      </c>
      <c r="BB40" s="12"/>
      <c r="BC40" s="117"/>
      <c r="BD40" s="12"/>
      <c r="BE40" s="12"/>
      <c r="CP40"/>
      <c r="CQ40"/>
      <c r="CR40"/>
    </row>
    <row r="41" spans="1:96">
      <c r="A41" s="171" t="s">
        <v>56</v>
      </c>
      <c r="B41" s="171">
        <v>112.89247697741257</v>
      </c>
      <c r="C41" s="171">
        <v>0.63219787107351044</v>
      </c>
      <c r="D41" s="171">
        <v>359.59118816528951</v>
      </c>
      <c r="E41" s="171" t="s">
        <v>72</v>
      </c>
      <c r="F41" s="171">
        <v>1.3344524661003192</v>
      </c>
      <c r="G41" s="171">
        <v>1.0467200912461335E-2</v>
      </c>
      <c r="H41" s="171">
        <v>112.88457754121913</v>
      </c>
      <c r="I41" s="171">
        <v>5.5993039793917632</v>
      </c>
      <c r="J41" s="171">
        <v>20.040977449224879</v>
      </c>
      <c r="K41" s="171">
        <v>1690.2234348423397</v>
      </c>
      <c r="L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17"/>
      <c r="AD41" s="13"/>
      <c r="AI41"/>
      <c r="AJ41"/>
      <c r="AL41" s="12"/>
      <c r="AM41" s="12"/>
      <c r="AN41" s="12" t="s">
        <v>56</v>
      </c>
      <c r="AO41" s="12">
        <v>1690.247338841888</v>
      </c>
      <c r="AP41" s="12">
        <v>112.89247697741257</v>
      </c>
      <c r="AQ41" s="12">
        <v>0.63219787107351044</v>
      </c>
      <c r="AR41" s="12">
        <v>359.59118816528951</v>
      </c>
      <c r="AS41" s="87">
        <v>1690.2234348423397</v>
      </c>
      <c r="AT41" s="87">
        <v>112.88457754121913</v>
      </c>
      <c r="AU41" s="87">
        <v>7.9999999999999993E-4</v>
      </c>
      <c r="AV41" s="87">
        <v>-2.5000000000005134E-4</v>
      </c>
      <c r="AW41" s="87">
        <v>8.0000475376869947E-4</v>
      </c>
      <c r="AX41" s="12">
        <v>235088.07399021043</v>
      </c>
      <c r="AY41" s="12">
        <v>197604.15655483239</v>
      </c>
      <c r="AZ41" s="12">
        <v>285932.63473646675</v>
      </c>
      <c r="BA41" s="12">
        <v>673266.89034584141</v>
      </c>
      <c r="BB41" s="12"/>
      <c r="BC41" s="117"/>
      <c r="BD41" s="12"/>
      <c r="BE41" s="12"/>
      <c r="CP41"/>
      <c r="CQ41"/>
      <c r="CR41"/>
    </row>
    <row r="42" spans="1:96">
      <c r="A42" s="171" t="s">
        <v>56</v>
      </c>
      <c r="B42" s="171">
        <v>112.89247697741257</v>
      </c>
      <c r="C42" s="171">
        <v>0.72251185265544049</v>
      </c>
      <c r="D42" s="171">
        <v>359.56296504604518</v>
      </c>
      <c r="E42" s="171" t="s">
        <v>72</v>
      </c>
      <c r="F42" s="171">
        <v>1.5123634159076256</v>
      </c>
      <c r="G42" s="171">
        <v>1.2607665323102228E-2</v>
      </c>
      <c r="H42" s="171">
        <v>112.882333947969</v>
      </c>
      <c r="I42" s="171">
        <v>7.1116673952993885</v>
      </c>
      <c r="J42" s="171">
        <v>23.386918447881314</v>
      </c>
      <c r="K42" s="171">
        <v>1803.1057687903087</v>
      </c>
      <c r="L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17"/>
      <c r="AD42" s="13"/>
      <c r="AI42"/>
      <c r="AJ42"/>
      <c r="AL42" s="12"/>
      <c r="AM42" s="12"/>
      <c r="AN42" s="12" t="s">
        <v>56</v>
      </c>
      <c r="AO42" s="12">
        <v>1803.1398158193006</v>
      </c>
      <c r="AP42" s="12">
        <v>112.89247697741257</v>
      </c>
      <c r="AQ42" s="12">
        <v>0.72251185265544049</v>
      </c>
      <c r="AR42" s="12">
        <v>359.56296504604518</v>
      </c>
      <c r="AS42" s="87">
        <v>1803.1057687903087</v>
      </c>
      <c r="AT42" s="87">
        <v>112.882333947969</v>
      </c>
      <c r="AU42" s="87">
        <v>7.9999999999999993E-4</v>
      </c>
      <c r="AV42" s="87">
        <v>-2.4999999999979959E-4</v>
      </c>
      <c r="AW42" s="87">
        <v>8.0000620892126183E-4</v>
      </c>
      <c r="AX42" s="12">
        <v>227344.3671451399</v>
      </c>
      <c r="AY42" s="12">
        <v>192152.25996794328</v>
      </c>
      <c r="AZ42" s="12">
        <v>276390.04282118782</v>
      </c>
      <c r="BA42" s="12">
        <v>661943.47696842847</v>
      </c>
      <c r="BB42" s="12"/>
      <c r="BC42" s="117"/>
      <c r="BD42" s="12"/>
      <c r="BE42" s="12"/>
      <c r="CP42"/>
      <c r="CQ42"/>
      <c r="CR42"/>
    </row>
    <row r="43" spans="1:96">
      <c r="A43" s="171" t="s">
        <v>56</v>
      </c>
      <c r="B43" s="171">
        <v>112.89247697741257</v>
      </c>
      <c r="C43" s="171">
        <v>0.81282583423737054</v>
      </c>
      <c r="D43" s="171">
        <v>359.53474192680085</v>
      </c>
      <c r="E43" s="171" t="s">
        <v>192</v>
      </c>
      <c r="F43" s="171">
        <v>1.6902687806311365</v>
      </c>
      <c r="G43" s="171">
        <v>1.4923358838617567E-2</v>
      </c>
      <c r="H43" s="171">
        <v>112.87980992332888</v>
      </c>
      <c r="I43" s="171">
        <v>8.8019361759305248</v>
      </c>
      <c r="J43" s="171">
        <v>26.735175140053265</v>
      </c>
      <c r="K43" s="171">
        <v>1915.9855787136376</v>
      </c>
      <c r="L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17"/>
      <c r="AD43" s="13"/>
      <c r="AI43"/>
      <c r="AJ43"/>
      <c r="AL43" s="12"/>
      <c r="AM43" s="12"/>
      <c r="AN43" s="12" t="s">
        <v>56</v>
      </c>
      <c r="AO43" s="12">
        <v>1916.0322927967131</v>
      </c>
      <c r="AP43" s="12">
        <v>112.89247697741257</v>
      </c>
      <c r="AQ43" s="12">
        <v>0.81282583423737054</v>
      </c>
      <c r="AR43" s="12">
        <v>359.53474192680085</v>
      </c>
      <c r="AS43" s="87">
        <v>1915.9855787136376</v>
      </c>
      <c r="AT43" s="87">
        <v>112.87980992332888</v>
      </c>
      <c r="AU43" s="87">
        <v>7.9999999999999993E-4</v>
      </c>
      <c r="AV43" s="87">
        <v>-2.5000000000005134E-4</v>
      </c>
      <c r="AW43" s="87">
        <v>8.0000785804727357E-4</v>
      </c>
      <c r="AX43" s="12">
        <v>219663.39770749409</v>
      </c>
      <c r="AY43" s="12">
        <v>186806.38093111449</v>
      </c>
      <c r="AZ43" s="12">
        <v>266923.68417565414</v>
      </c>
      <c r="BA43" s="12">
        <v>650516.20676994906</v>
      </c>
      <c r="BB43" s="12"/>
      <c r="BC43" s="117"/>
      <c r="BD43" s="12"/>
      <c r="BE43" s="12"/>
      <c r="CP43"/>
      <c r="CQ43"/>
      <c r="CR43"/>
    </row>
    <row r="44" spans="1:96">
      <c r="A44" s="171" t="s">
        <v>56</v>
      </c>
      <c r="B44" s="171">
        <v>112.89247697741257</v>
      </c>
      <c r="C44" s="171">
        <v>0.90313981581930058</v>
      </c>
      <c r="D44" s="171">
        <v>359.50651880755646</v>
      </c>
      <c r="E44" s="171" t="s">
        <v>192</v>
      </c>
      <c r="F44" s="171">
        <v>1.8681679888016727</v>
      </c>
      <c r="G44" s="171">
        <v>1.7414270483425389E-2</v>
      </c>
      <c r="H44" s="171">
        <v>112.87700547356991</v>
      </c>
      <c r="I44" s="171">
        <v>10.670104164732198</v>
      </c>
      <c r="J44" s="171">
        <v>30.085922743870022</v>
      </c>
      <c r="K44" s="171">
        <v>2028.8625841872074</v>
      </c>
      <c r="L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17"/>
      <c r="AD44" s="13"/>
      <c r="AI44"/>
      <c r="AJ44"/>
      <c r="AL44" s="12"/>
      <c r="AM44" s="12"/>
      <c r="AN44" s="12" t="s">
        <v>56</v>
      </c>
      <c r="AO44" s="12">
        <v>2028.9247697741257</v>
      </c>
      <c r="AP44" s="12">
        <v>112.89247697741257</v>
      </c>
      <c r="AQ44" s="12">
        <v>0.90313981581930058</v>
      </c>
      <c r="AR44" s="12">
        <v>359.50651880755646</v>
      </c>
      <c r="AS44" s="87">
        <v>2028.8625841872074</v>
      </c>
      <c r="AT44" s="87">
        <v>112.87700547356991</v>
      </c>
      <c r="AU44" s="87">
        <v>7.9999999999999993E-4</v>
      </c>
      <c r="AV44" s="87">
        <v>-2.5000000000005134E-4</v>
      </c>
      <c r="AW44" s="87">
        <v>8.0000970112915144E-4</v>
      </c>
      <c r="AX44" s="12">
        <v>212045.16900037974</v>
      </c>
      <c r="AY44" s="12">
        <v>181565.67480832423</v>
      </c>
      <c r="AZ44" s="12">
        <v>257533.62220747213</v>
      </c>
      <c r="BA44" s="12">
        <v>638979.50530807022</v>
      </c>
      <c r="BB44" s="12"/>
      <c r="BC44" s="117"/>
      <c r="BD44" s="12"/>
      <c r="BE44" s="12"/>
      <c r="CP44"/>
      <c r="CQ44"/>
      <c r="CR44"/>
    </row>
    <row r="45" spans="1:96">
      <c r="A45" s="171" t="s">
        <v>56</v>
      </c>
      <c r="B45" s="171">
        <v>112.89247697741257</v>
      </c>
      <c r="C45" s="171">
        <v>0.99345379740123063</v>
      </c>
      <c r="D45" s="171">
        <v>359.47829568831213</v>
      </c>
      <c r="E45" s="171" t="s">
        <v>192</v>
      </c>
      <c r="F45" s="171">
        <v>2.0460604690678599</v>
      </c>
      <c r="G45" s="171">
        <v>2.0080388327641831E-2</v>
      </c>
      <c r="H45" s="171">
        <v>112.87392060565763</v>
      </c>
      <c r="I45" s="171">
        <v>12.716164633800059</v>
      </c>
      <c r="J45" s="171">
        <v>33.439336465530999</v>
      </c>
      <c r="K45" s="171">
        <v>2141.7365047928652</v>
      </c>
      <c r="L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17"/>
      <c r="AD45" s="13"/>
      <c r="AI45"/>
      <c r="AJ45"/>
      <c r="AL45" s="12"/>
      <c r="AM45" s="12"/>
      <c r="AN45" s="12" t="s">
        <v>56</v>
      </c>
      <c r="AO45" s="12">
        <v>2141.8172467515383</v>
      </c>
      <c r="AP45" s="12">
        <v>112.89247697741257</v>
      </c>
      <c r="AQ45" s="12">
        <v>0.99345379740123063</v>
      </c>
      <c r="AR45" s="12">
        <v>359.47829568831213</v>
      </c>
      <c r="AS45" s="87">
        <v>2141.7365047928652</v>
      </c>
      <c r="AT45" s="87">
        <v>112.87392060565763</v>
      </c>
      <c r="AU45" s="87">
        <v>8.0000000000000036E-4</v>
      </c>
      <c r="AV45" s="87">
        <v>-2.5000000000005134E-4</v>
      </c>
      <c r="AW45" s="87">
        <v>8.000117381472446E-4</v>
      </c>
      <c r="AX45" s="12">
        <v>204489.68423515945</v>
      </c>
      <c r="AY45" s="12">
        <v>176429.29698544179</v>
      </c>
      <c r="AZ45" s="12">
        <v>248219.9191588801</v>
      </c>
      <c r="BA45" s="12">
        <v>627327.33267589076</v>
      </c>
      <c r="BB45" s="12"/>
      <c r="BC45" s="117"/>
      <c r="BD45" s="12"/>
      <c r="BE45" s="12"/>
      <c r="CP45"/>
      <c r="CQ45"/>
      <c r="CR45"/>
    </row>
    <row r="46" spans="1:96">
      <c r="A46" s="171" t="s">
        <v>56</v>
      </c>
      <c r="B46" s="171">
        <v>112.89247697741257</v>
      </c>
      <c r="C46" s="171">
        <v>1.0837677789831608</v>
      </c>
      <c r="D46" s="171">
        <v>359.45007256906774</v>
      </c>
      <c r="E46" s="171" t="s">
        <v>192</v>
      </c>
      <c r="F46" s="171">
        <v>2.2239456500373849</v>
      </c>
      <c r="G46" s="171">
        <v>2.2921699485518952E-2</v>
      </c>
      <c r="H46" s="171">
        <v>112.87055532725741</v>
      </c>
      <c r="I46" s="171">
        <v>14.940110283837443</v>
      </c>
      <c r="J46" s="171">
        <v>36.795591498349857</v>
      </c>
      <c r="K46" s="171">
        <v>2254.6070601201227</v>
      </c>
      <c r="L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17"/>
      <c r="AD46" s="13"/>
      <c r="AI46"/>
      <c r="AJ46"/>
      <c r="AL46" s="12"/>
      <c r="AM46" s="12"/>
      <c r="AN46" s="12" t="s">
        <v>56</v>
      </c>
      <c r="AO46" s="12">
        <v>2254.7097237289508</v>
      </c>
      <c r="AP46" s="12">
        <v>112.89247697741257</v>
      </c>
      <c r="AQ46" s="12">
        <v>1.0837677789831608</v>
      </c>
      <c r="AR46" s="12">
        <v>359.45007256906774</v>
      </c>
      <c r="AS46" s="87">
        <v>2254.6070601201227</v>
      </c>
      <c r="AT46" s="87">
        <v>112.87055532725741</v>
      </c>
      <c r="AU46" s="87">
        <v>8.0000000000000036E-4</v>
      </c>
      <c r="AV46" s="87">
        <v>-2.5000000000005134E-4</v>
      </c>
      <c r="AW46" s="87">
        <v>8.0001396907983366E-4</v>
      </c>
      <c r="AX46" s="12">
        <v>196996.94651144513</v>
      </c>
      <c r="AY46" s="12">
        <v>171396.40287048547</v>
      </c>
      <c r="AZ46" s="12">
        <v>238982.63610672229</v>
      </c>
      <c r="BA46" s="12">
        <v>615553.12882670399</v>
      </c>
      <c r="BB46" s="12"/>
      <c r="BC46" s="117"/>
      <c r="BD46" s="12"/>
      <c r="BE46" s="12"/>
      <c r="CP46"/>
      <c r="CQ46"/>
      <c r="CR46"/>
    </row>
    <row r="47" spans="1:96">
      <c r="A47" s="171" t="s">
        <v>56</v>
      </c>
      <c r="B47" s="171">
        <v>112.89247697741257</v>
      </c>
      <c r="C47" s="171">
        <v>1.1740817605650908</v>
      </c>
      <c r="D47" s="171">
        <v>359.42184944982341</v>
      </c>
      <c r="E47" s="171" t="s">
        <v>63</v>
      </c>
      <c r="F47" s="171">
        <v>2.4018229603905645</v>
      </c>
      <c r="G47" s="171">
        <v>2.5938190116445929E-2</v>
      </c>
      <c r="H47" s="171">
        <v>112.86690964672785</v>
      </c>
      <c r="I47" s="171">
        <v>17.341933244228009</v>
      </c>
      <c r="J47" s="171">
        <v>40.154863021799642</v>
      </c>
      <c r="K47" s="171">
        <v>2367.4739697668506</v>
      </c>
      <c r="L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17"/>
      <c r="AD47" s="13"/>
      <c r="AI47"/>
      <c r="AJ47"/>
      <c r="AL47" s="12"/>
      <c r="AM47" s="12"/>
      <c r="AN47" s="12" t="s">
        <v>56</v>
      </c>
      <c r="AO47" s="12">
        <v>2367.6022007063634</v>
      </c>
      <c r="AP47" s="12">
        <v>112.89247697741257</v>
      </c>
      <c r="AQ47" s="12">
        <v>1.1740817605650908</v>
      </c>
      <c r="AR47" s="12">
        <v>359.42184944982341</v>
      </c>
      <c r="AS47" s="87">
        <v>2367.4739697668506</v>
      </c>
      <c r="AT47" s="87">
        <v>112.86690964672785</v>
      </c>
      <c r="AU47" s="87">
        <v>7.9999999999999993E-4</v>
      </c>
      <c r="AV47" s="87">
        <v>-2.4999999999979959E-4</v>
      </c>
      <c r="AW47" s="87">
        <v>8.000163939031323E-4</v>
      </c>
      <c r="AX47" s="12">
        <v>189566.95881709061</v>
      </c>
      <c r="AY47" s="12">
        <v>166466.14789387898</v>
      </c>
      <c r="AZ47" s="12">
        <v>229821.83296241265</v>
      </c>
      <c r="BA47" s="12">
        <v>603649.75043993734</v>
      </c>
      <c r="BB47" s="12"/>
      <c r="BC47" s="117"/>
      <c r="BD47" s="12"/>
      <c r="BE47" s="12"/>
      <c r="CP47"/>
      <c r="CQ47"/>
      <c r="CR47"/>
    </row>
    <row r="48" spans="1:96">
      <c r="A48" s="171" t="s">
        <v>56</v>
      </c>
      <c r="B48" s="171">
        <v>112.89247697741257</v>
      </c>
      <c r="C48" s="171">
        <v>1.2643957421470209</v>
      </c>
      <c r="D48" s="171">
        <v>359.39362633057908</v>
      </c>
      <c r="E48" s="171" t="s">
        <v>63</v>
      </c>
      <c r="F48" s="171">
        <v>2.5796918288030799</v>
      </c>
      <c r="G48" s="171">
        <v>2.9129845423037624E-2</v>
      </c>
      <c r="H48" s="171">
        <v>112.86298357312738</v>
      </c>
      <c r="I48" s="171">
        <v>19.921625073031088</v>
      </c>
      <c r="J48" s="171">
        <v>43.517326200556013</v>
      </c>
      <c r="K48" s="171">
        <v>2480.3369533399778</v>
      </c>
      <c r="L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17"/>
      <c r="AD48" s="13"/>
      <c r="AI48"/>
      <c r="AJ48"/>
      <c r="AL48" s="12"/>
      <c r="AM48" s="12"/>
      <c r="AN48" s="12" t="s">
        <v>56</v>
      </c>
      <c r="AO48" s="12">
        <v>2480.494677683776</v>
      </c>
      <c r="AP48" s="12">
        <v>112.89247697741257</v>
      </c>
      <c r="AQ48" s="12">
        <v>1.2643957421470209</v>
      </c>
      <c r="AR48" s="12">
        <v>359.39362633057908</v>
      </c>
      <c r="AS48" s="87">
        <v>2480.3369533399778</v>
      </c>
      <c r="AT48" s="87">
        <v>112.86298357312738</v>
      </c>
      <c r="AU48" s="87">
        <v>7.9999999999999993E-4</v>
      </c>
      <c r="AV48" s="87">
        <v>-2.5000000000005134E-4</v>
      </c>
      <c r="AW48" s="87">
        <v>8.0001901259128848E-4</v>
      </c>
      <c r="AX48" s="12">
        <v>182199.72402818361</v>
      </c>
      <c r="AY48" s="12">
        <v>161637.68750870595</v>
      </c>
      <c r="AZ48" s="12">
        <v>220737.56847194393</v>
      </c>
      <c r="BA48" s="12">
        <v>591609.39767884219</v>
      </c>
      <c r="BB48" s="12"/>
      <c r="BC48" s="117"/>
      <c r="BD48" s="12"/>
      <c r="BE48" s="12"/>
      <c r="CP48"/>
      <c r="CQ48"/>
      <c r="CR48"/>
    </row>
    <row r="49" spans="1:96">
      <c r="A49" s="171" t="s">
        <v>56</v>
      </c>
      <c r="B49" s="171">
        <v>112.89247697741257</v>
      </c>
      <c r="C49" s="171">
        <v>1.3547097237289509</v>
      </c>
      <c r="D49" s="171">
        <v>359.36540321133469</v>
      </c>
      <c r="E49" s="171" t="s">
        <v>63</v>
      </c>
      <c r="F49" s="171">
        <v>2.7575516840192202</v>
      </c>
      <c r="G49" s="171">
        <v>3.2496649653491971E-2</v>
      </c>
      <c r="H49" s="171">
        <v>112.85877711620859</v>
      </c>
      <c r="I49" s="171">
        <v>22.679176757050307</v>
      </c>
      <c r="J49" s="171">
        <v>46.883156183542845</v>
      </c>
      <c r="K49" s="171">
        <v>2593.1957304561865</v>
      </c>
      <c r="L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17"/>
      <c r="AD49" s="13"/>
      <c r="AI49"/>
      <c r="AJ49"/>
      <c r="AL49" s="12"/>
      <c r="AM49" s="12"/>
      <c r="AN49" s="12" t="s">
        <v>56</v>
      </c>
      <c r="AO49" s="12">
        <v>2593.3871546611886</v>
      </c>
      <c r="AP49" s="12">
        <v>112.89247697741257</v>
      </c>
      <c r="AQ49" s="12">
        <v>1.3547097237289509</v>
      </c>
      <c r="AR49" s="12">
        <v>359.36540321133469</v>
      </c>
      <c r="AS49" s="87">
        <v>2593.1957304561865</v>
      </c>
      <c r="AT49" s="87">
        <v>112.85877711620859</v>
      </c>
      <c r="AU49" s="87">
        <v>7.9999999999999993E-4</v>
      </c>
      <c r="AV49" s="87">
        <v>-2.5000000000005134E-4</v>
      </c>
      <c r="AW49" s="87">
        <v>8.0002182511638173E-4</v>
      </c>
      <c r="AX49" s="12">
        <v>174895.24490903661</v>
      </c>
      <c r="AY49" s="12">
        <v>156910.17719096257</v>
      </c>
      <c r="AZ49" s="12">
        <v>211729.90021589131</v>
      </c>
      <c r="BA49" s="12">
        <v>579423.52879725851</v>
      </c>
      <c r="BB49" s="12"/>
      <c r="BC49" s="117"/>
      <c r="BD49" s="12"/>
      <c r="BE49" s="12"/>
      <c r="CP49"/>
      <c r="CQ49"/>
      <c r="CR49"/>
    </row>
    <row r="50" spans="1:96">
      <c r="A50" s="171" t="s">
        <v>56</v>
      </c>
      <c r="B50" s="171">
        <v>112.89247697741257</v>
      </c>
      <c r="C50" s="171">
        <v>1.445023705310881</v>
      </c>
      <c r="D50" s="171">
        <v>359.33718009209036</v>
      </c>
      <c r="E50" s="171" t="s">
        <v>118</v>
      </c>
      <c r="F50" s="171">
        <v>2.9354019548049459</v>
      </c>
      <c r="G50" s="171">
        <v>3.6038586100061068E-2</v>
      </c>
      <c r="H50" s="171">
        <v>112.85429028642137</v>
      </c>
      <c r="I50" s="171">
        <v>25.614578711855252</v>
      </c>
      <c r="J50" s="171">
        <v>50.252528102976243</v>
      </c>
      <c r="K50" s="171">
        <v>2706.050020742608</v>
      </c>
      <c r="L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17"/>
      <c r="AD50" s="13"/>
      <c r="AI50"/>
      <c r="AJ50"/>
      <c r="AL50" s="12"/>
      <c r="AM50" s="12"/>
      <c r="AN50" s="12" t="s">
        <v>56</v>
      </c>
      <c r="AO50" s="12">
        <v>2706.2796316386011</v>
      </c>
      <c r="AP50" s="12">
        <v>112.89247697741257</v>
      </c>
      <c r="AQ50" s="12">
        <v>1.445023705310881</v>
      </c>
      <c r="AR50" s="12">
        <v>359.33718009209036</v>
      </c>
      <c r="AS50" s="87">
        <v>2706.050020742608</v>
      </c>
      <c r="AT50" s="87">
        <v>112.85429028642137</v>
      </c>
      <c r="AU50" s="87">
        <v>7.9999999999999993E-4</v>
      </c>
      <c r="AV50" s="87">
        <v>-2.5000000000005134E-4</v>
      </c>
      <c r="AW50" s="87">
        <v>8.0002483144842604E-4</v>
      </c>
      <c r="AX50" s="12">
        <v>167653.52411217708</v>
      </c>
      <c r="AY50" s="12">
        <v>152282.77243980826</v>
      </c>
      <c r="AZ50" s="12">
        <v>202798.88460946185</v>
      </c>
      <c r="BA50" s="12">
        <v>567082.76004736905</v>
      </c>
      <c r="BB50" s="12"/>
      <c r="BC50" s="117"/>
      <c r="BD50" s="12"/>
      <c r="BE50" s="12"/>
      <c r="CP50"/>
      <c r="CQ50"/>
      <c r="CR50"/>
    </row>
    <row r="51" spans="1:96">
      <c r="A51" s="171" t="s">
        <v>56</v>
      </c>
      <c r="B51" s="171">
        <v>112.89247697741257</v>
      </c>
      <c r="C51" s="171">
        <v>1.535337686892811</v>
      </c>
      <c r="D51" s="171">
        <v>359.30895697284598</v>
      </c>
      <c r="E51" s="171" t="s">
        <v>118</v>
      </c>
      <c r="F51" s="171">
        <v>3.1132420699469994</v>
      </c>
      <c r="G51" s="171">
        <v>3.9755637099522442E-2</v>
      </c>
      <c r="H51" s="171">
        <v>112.8495230949129</v>
      </c>
      <c r="I51" s="171">
        <v>28.727820781802251</v>
      </c>
      <c r="J51" s="171">
        <v>53.625617073409103</v>
      </c>
      <c r="K51" s="171">
        <v>2818.8995438375209</v>
      </c>
      <c r="L51" s="12"/>
      <c r="AC51" s="118"/>
      <c r="AD51" s="13"/>
      <c r="AI51"/>
      <c r="AJ51"/>
      <c r="AL51" s="12"/>
      <c r="AM51" s="12"/>
      <c r="AN51" s="12" t="s">
        <v>56</v>
      </c>
      <c r="AO51" s="12">
        <v>2819.1721086160137</v>
      </c>
      <c r="AP51" s="12">
        <v>112.89247697741257</v>
      </c>
      <c r="AQ51" s="12">
        <v>1.535337686892811</v>
      </c>
      <c r="AR51" s="12">
        <v>359.30895697284598</v>
      </c>
      <c r="AS51" s="87">
        <v>2818.8995438375209</v>
      </c>
      <c r="AT51" s="87">
        <v>112.8495230949129</v>
      </c>
      <c r="AU51" s="87">
        <v>7.9999999999999993E-4</v>
      </c>
      <c r="AV51" s="87">
        <v>-2.5000000000005134E-4</v>
      </c>
      <c r="AW51" s="87">
        <v>8.0002803155536937E-4</v>
      </c>
      <c r="AX51" s="12">
        <v>160474.56417833685</v>
      </c>
      <c r="AY51" s="12">
        <v>147754.6287778141</v>
      </c>
      <c r="AZ51" s="12">
        <v>193944.5769025693</v>
      </c>
      <c r="BA51" s="12">
        <v>554576.74768508563</v>
      </c>
      <c r="BB51" s="12"/>
      <c r="BC51" s="117"/>
      <c r="BD51" s="12"/>
      <c r="BE51" s="12"/>
      <c r="CP51"/>
      <c r="CQ51"/>
      <c r="CR51"/>
    </row>
    <row r="52" spans="1:96">
      <c r="A52" s="171" t="s">
        <v>56</v>
      </c>
      <c r="B52" s="171">
        <v>112.89247697741257</v>
      </c>
      <c r="C52" s="171">
        <v>1.6256516684747411</v>
      </c>
      <c r="D52" s="171">
        <v>359.28073385360165</v>
      </c>
      <c r="E52" s="171" t="s">
        <v>118</v>
      </c>
      <c r="F52" s="171">
        <v>3.2910714582980578</v>
      </c>
      <c r="G52" s="171">
        <v>4.3647784034245379E-2</v>
      </c>
      <c r="H52" s="171">
        <v>112.84447555352614</v>
      </c>
      <c r="I52" s="171">
        <v>32.018892240100307</v>
      </c>
      <c r="J52" s="171">
        <v>57.002598190776681</v>
      </c>
      <c r="K52" s="171">
        <v>2931.744019391047</v>
      </c>
      <c r="L52" s="12"/>
      <c r="AC52" s="118"/>
      <c r="AD52" s="13"/>
      <c r="AI52"/>
      <c r="AJ52"/>
      <c r="AL52" s="12"/>
      <c r="AM52" s="12"/>
      <c r="AN52" s="12" t="s">
        <v>56</v>
      </c>
      <c r="AO52" s="12">
        <v>2932.0645855934263</v>
      </c>
      <c r="AP52" s="12">
        <v>112.89247697741257</v>
      </c>
      <c r="AQ52" s="12">
        <v>1.6256516684747411</v>
      </c>
      <c r="AR52" s="12">
        <v>359.28073385360165</v>
      </c>
      <c r="AS52" s="87">
        <v>2931.744019391047</v>
      </c>
      <c r="AT52" s="87">
        <v>112.84447555352614</v>
      </c>
      <c r="AU52" s="87">
        <v>7.9999999999999993E-4</v>
      </c>
      <c r="AV52" s="87">
        <v>-2.4999999999979959E-4</v>
      </c>
      <c r="AW52" s="87">
        <v>8.0003142540309392E-4</v>
      </c>
      <c r="AX52" s="12">
        <v>153358.36753644058</v>
      </c>
      <c r="AY52" s="12">
        <v>143324.9017512087</v>
      </c>
      <c r="AZ52" s="12">
        <v>185167.03117994737</v>
      </c>
      <c r="BA52" s="12">
        <v>541894.04801223474</v>
      </c>
      <c r="BB52" s="12"/>
      <c r="BC52" s="117"/>
      <c r="BD52" s="12"/>
      <c r="BE52" s="12"/>
      <c r="CP52"/>
      <c r="CQ52"/>
      <c r="CR52"/>
    </row>
    <row r="53" spans="1:96">
      <c r="A53" s="171" t="s">
        <v>56</v>
      </c>
      <c r="B53" s="171">
        <v>112.89247697741257</v>
      </c>
      <c r="C53" s="171">
        <v>1.7159656500566711</v>
      </c>
      <c r="D53" s="171">
        <v>359.25251073435732</v>
      </c>
      <c r="E53" s="171" t="s">
        <v>118</v>
      </c>
      <c r="F53" s="171">
        <v>3.4688895487626792</v>
      </c>
      <c r="G53" s="171">
        <v>4.7715007331433516E-2</v>
      </c>
      <c r="H53" s="171">
        <v>112.83914767479986</v>
      </c>
      <c r="I53" s="171">
        <v>35.487781788862989</v>
      </c>
      <c r="J53" s="171">
        <v>60.38364653144145</v>
      </c>
      <c r="K53" s="171">
        <v>3044.5831670658467</v>
      </c>
      <c r="L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17"/>
      <c r="AD53" s="13"/>
      <c r="AI53"/>
      <c r="AJ53"/>
      <c r="AL53" s="12"/>
      <c r="AM53" s="12"/>
      <c r="AN53" s="12" t="s">
        <v>56</v>
      </c>
      <c r="AO53" s="12">
        <v>3044.9570625708388</v>
      </c>
      <c r="AP53" s="12">
        <v>112.89247697741257</v>
      </c>
      <c r="AQ53" s="12">
        <v>1.7159656500566711</v>
      </c>
      <c r="AR53" s="12">
        <v>359.25251073435732</v>
      </c>
      <c r="AS53" s="87">
        <v>3044.5831670658467</v>
      </c>
      <c r="AT53" s="87">
        <v>112.83914767479986</v>
      </c>
      <c r="AU53" s="87">
        <v>7.9999999999999993E-4</v>
      </c>
      <c r="AV53" s="87">
        <v>-2.5000000000005134E-4</v>
      </c>
      <c r="AW53" s="87">
        <v>8.0003501295541728E-4</v>
      </c>
      <c r="AX53" s="12">
        <v>146304.93650359346</v>
      </c>
      <c r="AY53" s="12">
        <v>138992.74693012136</v>
      </c>
      <c r="AZ53" s="12">
        <v>176466.30036131895</v>
      </c>
      <c r="BA53" s="12">
        <v>529021.95026127656</v>
      </c>
      <c r="BB53" s="12"/>
      <c r="BC53" s="117"/>
      <c r="BD53" s="12"/>
      <c r="BE53" s="12"/>
      <c r="CP53"/>
      <c r="CQ53"/>
      <c r="CR53"/>
    </row>
    <row r="54" spans="1:96">
      <c r="A54" s="171" t="s">
        <v>56</v>
      </c>
      <c r="B54" s="171">
        <v>112.89247697741257</v>
      </c>
      <c r="C54" s="171">
        <v>1.8062796316386012</v>
      </c>
      <c r="D54" s="171">
        <v>359.22428761511293</v>
      </c>
      <c r="E54" s="171" t="s">
        <v>64</v>
      </c>
      <c r="F54" s="171">
        <v>0</v>
      </c>
      <c r="G54" s="171">
        <v>0</v>
      </c>
      <c r="H54" s="171">
        <v>101.09479355038957</v>
      </c>
      <c r="I54" s="171">
        <v>35.487781788862989</v>
      </c>
      <c r="J54" s="171">
        <v>63.716979864774785</v>
      </c>
      <c r="K54" s="171">
        <v>3145.6779606162363</v>
      </c>
      <c r="L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17"/>
      <c r="AD54" s="13"/>
      <c r="AI54"/>
      <c r="AJ54"/>
      <c r="AL54" s="12"/>
      <c r="AM54" s="12"/>
      <c r="AN54" s="12" t="s">
        <v>56</v>
      </c>
      <c r="AO54" s="12">
        <v>3157.8495395482514</v>
      </c>
      <c r="AP54" s="12">
        <v>112.89247697741257</v>
      </c>
      <c r="AQ54" s="12">
        <v>1.8062796316386012</v>
      </c>
      <c r="AR54" s="12">
        <v>359.22428761511293</v>
      </c>
      <c r="AS54" s="87">
        <v>3145.6779606162363</v>
      </c>
      <c r="AT54" s="87">
        <v>101.09479355038957</v>
      </c>
      <c r="AU54" s="87">
        <v>4.0000000000000192E-4</v>
      </c>
      <c r="AV54" s="87">
        <v>-3.5127059668156618E-4</v>
      </c>
      <c r="AW54" s="87">
        <v>4.0015315369574714E-4</v>
      </c>
      <c r="AX54" s="12">
        <v>139314.27328506802</v>
      </c>
      <c r="AY54" s="12">
        <v>134757.31990882172</v>
      </c>
      <c r="AZ54" s="12">
        <v>74349.806583374884</v>
      </c>
      <c r="BA54" s="12">
        <v>362784.08529580047</v>
      </c>
      <c r="BB54" s="12"/>
      <c r="BC54" s="117"/>
      <c r="BD54" s="12"/>
      <c r="BE54" s="12"/>
      <c r="CP54"/>
      <c r="CQ54"/>
      <c r="CR54"/>
    </row>
    <row r="55" spans="1:96">
      <c r="A55" s="171" t="s">
        <v>57</v>
      </c>
      <c r="B55" s="171">
        <v>204.35398501229747</v>
      </c>
      <c r="C55" s="171">
        <v>1.8062796316386016</v>
      </c>
      <c r="D55" s="171">
        <v>359.17319911885988</v>
      </c>
      <c r="E55" s="171" t="s">
        <v>64</v>
      </c>
      <c r="F55" s="171">
        <v>6.4401114685277543</v>
      </c>
      <c r="G55" s="171">
        <v>-9.5914060300871823E-2</v>
      </c>
      <c r="H55" s="171">
        <v>204.25245887179003</v>
      </c>
      <c r="I55" s="171">
        <v>41.927893257390743</v>
      </c>
      <c r="J55" s="171">
        <v>66.954399137807243</v>
      </c>
      <c r="K55" s="171">
        <v>3349.9304194880265</v>
      </c>
      <c r="L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17"/>
      <c r="AD55" s="13"/>
      <c r="AI55"/>
      <c r="AJ55"/>
      <c r="AL55" s="12"/>
      <c r="AM55" s="12"/>
      <c r="AN55" s="12" t="s">
        <v>57</v>
      </c>
      <c r="AO55" s="12">
        <v>3362.2035245605489</v>
      </c>
      <c r="AP55" s="12">
        <v>204.35398501229747</v>
      </c>
      <c r="AQ55" s="12">
        <v>1.8062796316386016</v>
      </c>
      <c r="AR55" s="12">
        <v>359.17319911885988</v>
      </c>
      <c r="AS55" s="87">
        <v>3349.9304194880265</v>
      </c>
      <c r="AT55" s="87">
        <v>204.25245887179003</v>
      </c>
      <c r="AU55" s="87">
        <v>1.0865685095970567E-18</v>
      </c>
      <c r="AV55" s="87">
        <v>-2.4999999999999052E-4</v>
      </c>
      <c r="AW55" s="87">
        <v>7.8785901997207843E-6</v>
      </c>
      <c r="AX55" s="12">
        <v>134723.46360853207</v>
      </c>
      <c r="AY55" s="12">
        <v>131561.15115201223</v>
      </c>
      <c r="AZ55" s="12">
        <v>4563.9967765462015</v>
      </c>
      <c r="BA55" s="12">
        <v>53174.598481726891</v>
      </c>
      <c r="BB55" s="12"/>
      <c r="BC55" s="117"/>
      <c r="BD55" s="12"/>
      <c r="BE55" s="12"/>
      <c r="CP55"/>
      <c r="CQ55"/>
      <c r="CR55"/>
    </row>
    <row r="56" spans="1:96">
      <c r="A56" s="171" t="s">
        <v>57</v>
      </c>
      <c r="B56" s="171">
        <v>204.35398501229747</v>
      </c>
      <c r="C56" s="171">
        <v>1.8062796316386016</v>
      </c>
      <c r="D56" s="171">
        <v>359.12211062260678</v>
      </c>
      <c r="E56" s="171" t="s">
        <v>119</v>
      </c>
      <c r="F56" s="171">
        <v>6.4400233921039662</v>
      </c>
      <c r="G56" s="171">
        <v>-0.10165600415041913</v>
      </c>
      <c r="H56" s="171">
        <v>204.25245887179003</v>
      </c>
      <c r="I56" s="171">
        <v>48.36791664949471</v>
      </c>
      <c r="J56" s="171">
        <v>70.186076466990158</v>
      </c>
      <c r="K56" s="171">
        <v>3554.1828783598166</v>
      </c>
      <c r="L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17"/>
      <c r="AD56" s="13"/>
      <c r="AI56"/>
      <c r="AJ56"/>
      <c r="AL56" s="12"/>
      <c r="AM56" s="12"/>
      <c r="AN56" s="12" t="s">
        <v>57</v>
      </c>
      <c r="AO56" s="12">
        <v>3566.5575095728464</v>
      </c>
      <c r="AP56" s="12">
        <v>204.35398501229747</v>
      </c>
      <c r="AQ56" s="12">
        <v>1.8062796316386016</v>
      </c>
      <c r="AR56" s="12">
        <v>359.12211062260678</v>
      </c>
      <c r="AS56" s="87">
        <v>3554.1828783598166</v>
      </c>
      <c r="AT56" s="87">
        <v>204.25245887179003</v>
      </c>
      <c r="AU56" s="87">
        <v>0</v>
      </c>
      <c r="AV56" s="87">
        <v>-2.4999999999999052E-4</v>
      </c>
      <c r="AW56" s="87">
        <v>7.8785901997207843E-6</v>
      </c>
      <c r="AX56" s="12">
        <v>130516.6730329198</v>
      </c>
      <c r="AY56" s="12">
        <v>127394.7273534441</v>
      </c>
      <c r="AZ56" s="12">
        <v>4505.935680598518</v>
      </c>
      <c r="BA56" s="12">
        <v>52835.284321214014</v>
      </c>
      <c r="BB56" s="12"/>
      <c r="BC56" s="117"/>
      <c r="BD56" s="12"/>
      <c r="BE56" s="12"/>
      <c r="CP56"/>
      <c r="CQ56"/>
      <c r="CR56"/>
    </row>
    <row r="57" spans="1:96">
      <c r="A57" s="171" t="s">
        <v>57</v>
      </c>
      <c r="B57" s="171">
        <v>204.35398501229747</v>
      </c>
      <c r="C57" s="171">
        <v>1.8062796316386016</v>
      </c>
      <c r="D57" s="171">
        <v>359.07102212635374</v>
      </c>
      <c r="E57" s="171" t="s">
        <v>119</v>
      </c>
      <c r="F57" s="171">
        <v>6.4399301962171407</v>
      </c>
      <c r="G57" s="171">
        <v>-0.10739786718904422</v>
      </c>
      <c r="H57" s="171">
        <v>204.25245887179003</v>
      </c>
      <c r="I57" s="171">
        <v>54.80784684571185</v>
      </c>
      <c r="J57" s="171">
        <v>73.412011933134437</v>
      </c>
      <c r="K57" s="171">
        <v>3758.4353372316068</v>
      </c>
      <c r="L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17"/>
      <c r="AD57" s="13"/>
      <c r="AI57"/>
      <c r="AJ57"/>
      <c r="AL57" s="12"/>
      <c r="AM57" s="12"/>
      <c r="AN57" s="12" t="s">
        <v>57</v>
      </c>
      <c r="AO57" s="12">
        <v>3770.9114945851438</v>
      </c>
      <c r="AP57" s="12">
        <v>204.35398501229747</v>
      </c>
      <c r="AQ57" s="12">
        <v>1.8062796316386016</v>
      </c>
      <c r="AR57" s="12">
        <v>359.07102212635374</v>
      </c>
      <c r="AS57" s="87">
        <v>3758.4353372316068</v>
      </c>
      <c r="AT57" s="87">
        <v>204.25245887179003</v>
      </c>
      <c r="AU57" s="87">
        <v>0</v>
      </c>
      <c r="AV57" s="87">
        <v>-2.4999999999999052E-4</v>
      </c>
      <c r="AW57" s="87">
        <v>7.8785901997207843E-6</v>
      </c>
      <c r="AX57" s="12">
        <v>126311.67567982613</v>
      </c>
      <c r="AY57" s="12">
        <v>123228.94899883059</v>
      </c>
      <c r="AZ57" s="12">
        <v>4449.0183567704989</v>
      </c>
      <c r="BA57" s="12">
        <v>52500.525876496591</v>
      </c>
      <c r="BB57" s="12"/>
      <c r="BC57" s="117"/>
      <c r="BD57" s="12"/>
      <c r="BE57" s="12"/>
      <c r="CP57"/>
      <c r="CQ57"/>
      <c r="CR57"/>
    </row>
    <row r="58" spans="1:96">
      <c r="A58" s="171" t="s">
        <v>57</v>
      </c>
      <c r="B58" s="171">
        <v>204.35398501229747</v>
      </c>
      <c r="C58" s="171">
        <v>1.8062796316386016</v>
      </c>
      <c r="D58" s="171">
        <v>359.01993363010064</v>
      </c>
      <c r="E58" s="171" t="s">
        <v>65</v>
      </c>
      <c r="F58" s="171">
        <v>6.439831880941365</v>
      </c>
      <c r="G58" s="171">
        <v>-0.11313964485230586</v>
      </c>
      <c r="H58" s="171">
        <v>204.25245887179003</v>
      </c>
      <c r="I58" s="171">
        <v>61.247678726653213</v>
      </c>
      <c r="J58" s="171">
        <v>76.632205621615455</v>
      </c>
      <c r="K58" s="171">
        <v>3962.687796103397</v>
      </c>
      <c r="L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17"/>
      <c r="AD58" s="13"/>
      <c r="AI58"/>
      <c r="AJ58"/>
      <c r="AL58" s="12"/>
      <c r="AM58" s="12"/>
      <c r="AN58" s="12" t="s">
        <v>57</v>
      </c>
      <c r="AO58" s="12">
        <v>3975.2654795974413</v>
      </c>
      <c r="AP58" s="12">
        <v>204.35398501229747</v>
      </c>
      <c r="AQ58" s="12">
        <v>1.8062796316386016</v>
      </c>
      <c r="AR58" s="12">
        <v>359.01993363010064</v>
      </c>
      <c r="AS58" s="87">
        <v>3962.687796103397</v>
      </c>
      <c r="AT58" s="87">
        <v>204.25245887179003</v>
      </c>
      <c r="AU58" s="87">
        <v>0</v>
      </c>
      <c r="AV58" s="87">
        <v>-2.5000000000012962E-4</v>
      </c>
      <c r="AW58" s="87">
        <v>7.8785901997251669E-6</v>
      </c>
      <c r="AX58" s="12">
        <v>122108.46313854458</v>
      </c>
      <c r="AY58" s="12">
        <v>119063.8033732756</v>
      </c>
      <c r="AZ58" s="12">
        <v>4393.2867192931499</v>
      </c>
      <c r="BA58" s="12">
        <v>52170.659712886772</v>
      </c>
      <c r="BB58" s="12"/>
      <c r="BC58" s="117"/>
      <c r="BD58" s="12"/>
      <c r="BE58" s="12"/>
      <c r="CP58"/>
      <c r="CQ58"/>
      <c r="CR58"/>
    </row>
    <row r="59" spans="1:96">
      <c r="A59" s="171" t="s">
        <v>57</v>
      </c>
      <c r="B59" s="171">
        <v>204.35398501229747</v>
      </c>
      <c r="C59" s="171">
        <v>1.8062796316386016</v>
      </c>
      <c r="D59" s="171">
        <v>358.96884513384754</v>
      </c>
      <c r="E59" s="171" t="s">
        <v>65</v>
      </c>
      <c r="F59" s="171">
        <v>6.4397284463547919</v>
      </c>
      <c r="G59" s="171">
        <v>-0.11888133257579639</v>
      </c>
      <c r="H59" s="171">
        <v>204.25245887179003</v>
      </c>
      <c r="I59" s="171">
        <v>67.687407173008012</v>
      </c>
      <c r="J59" s="171">
        <v>79.846657622372987</v>
      </c>
      <c r="K59" s="171">
        <v>4166.9402549751867</v>
      </c>
      <c r="L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17"/>
      <c r="AD59" s="13"/>
      <c r="AI59"/>
      <c r="AJ59"/>
      <c r="AL59" s="12"/>
      <c r="AM59" s="12"/>
      <c r="AN59" s="12" t="s">
        <v>57</v>
      </c>
      <c r="AO59" s="12">
        <v>4179.6194646097392</v>
      </c>
      <c r="AP59" s="12">
        <v>204.35398501229747</v>
      </c>
      <c r="AQ59" s="12">
        <v>1.8062796316386016</v>
      </c>
      <c r="AR59" s="12">
        <v>358.96884513384754</v>
      </c>
      <c r="AS59" s="87">
        <v>4166.9402549751867</v>
      </c>
      <c r="AT59" s="87">
        <v>204.25245887179003</v>
      </c>
      <c r="AU59" s="87">
        <v>0</v>
      </c>
      <c r="AV59" s="87">
        <v>-2.4999999999999052E-4</v>
      </c>
      <c r="AW59" s="87">
        <v>7.8785901997207843E-6</v>
      </c>
      <c r="AX59" s="12">
        <v>117907.02647317716</v>
      </c>
      <c r="AY59" s="12">
        <v>114899.27729593794</v>
      </c>
      <c r="AZ59" s="12">
        <v>4338.7838960778772</v>
      </c>
      <c r="BA59" s="12">
        <v>51846.036888976843</v>
      </c>
      <c r="BB59" s="12"/>
      <c r="BC59" s="117"/>
      <c r="BD59" s="12"/>
      <c r="BE59" s="12"/>
      <c r="CP59"/>
      <c r="CQ59"/>
      <c r="CR59"/>
    </row>
    <row r="60" spans="1:96">
      <c r="A60" s="171" t="s">
        <v>57</v>
      </c>
      <c r="B60" s="171">
        <v>204.35398501229702</v>
      </c>
      <c r="C60" s="171">
        <v>1.8062796316386016</v>
      </c>
      <c r="D60" s="171">
        <v>358.91775663759449</v>
      </c>
      <c r="E60" s="171" t="s">
        <v>71</v>
      </c>
      <c r="F60" s="171">
        <v>6.4396198925396337</v>
      </c>
      <c r="G60" s="171">
        <v>-0.12462292579518508</v>
      </c>
      <c r="H60" s="171">
        <v>204.25245887178957</v>
      </c>
      <c r="I60" s="171">
        <v>74.127027065547651</v>
      </c>
      <c r="J60" s="171">
        <v>83.055368029911136</v>
      </c>
      <c r="K60" s="171">
        <v>4371.1927138469764</v>
      </c>
      <c r="L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17"/>
      <c r="AD60" s="13"/>
      <c r="AI60"/>
      <c r="AJ60"/>
      <c r="AL60" s="12"/>
      <c r="AM60" s="12"/>
      <c r="AN60" s="12" t="s">
        <v>57</v>
      </c>
      <c r="AO60" s="12">
        <v>4383.9734496220362</v>
      </c>
      <c r="AP60" s="12">
        <v>204.35398501229702</v>
      </c>
      <c r="AQ60" s="12">
        <v>1.8062796316386016</v>
      </c>
      <c r="AR60" s="12">
        <v>358.91775663759449</v>
      </c>
      <c r="AS60" s="87">
        <v>4371.1927138469764</v>
      </c>
      <c r="AT60" s="87">
        <v>204.25245887178957</v>
      </c>
      <c r="AU60" s="87">
        <v>0</v>
      </c>
      <c r="AV60" s="87">
        <v>-2.4999999999999111E-4</v>
      </c>
      <c r="AW60" s="87">
        <v>7.878590199720803E-6</v>
      </c>
      <c r="AX60" s="12">
        <v>113707.35618095619</v>
      </c>
      <c r="AY60" s="12">
        <v>110735.35710653914</v>
      </c>
      <c r="AZ60" s="12">
        <v>4285.5541867654301</v>
      </c>
      <c r="BA60" s="12">
        <v>51527.022822589191</v>
      </c>
      <c r="BB60" s="12"/>
      <c r="BC60" s="117"/>
      <c r="BD60" s="12"/>
      <c r="BE60" s="12"/>
      <c r="CP60"/>
      <c r="CQ60"/>
      <c r="CR60"/>
    </row>
    <row r="61" spans="1:96">
      <c r="A61" s="171" t="s">
        <v>57</v>
      </c>
      <c r="B61" s="171">
        <v>204.35398501229702</v>
      </c>
      <c r="C61" s="171">
        <v>1.8062796316386016</v>
      </c>
      <c r="D61" s="171">
        <v>358.86666814134139</v>
      </c>
      <c r="E61" s="171" t="s">
        <v>71</v>
      </c>
      <c r="F61" s="171">
        <v>6.4395062195822126</v>
      </c>
      <c r="G61" s="171">
        <v>-0.13036441994623429</v>
      </c>
      <c r="H61" s="171">
        <v>204.25245887178957</v>
      </c>
      <c r="I61" s="171">
        <v>80.566533285129864</v>
      </c>
      <c r="J61" s="171">
        <v>86.258336943298232</v>
      </c>
      <c r="K61" s="171">
        <v>4575.4451727187661</v>
      </c>
      <c r="L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17"/>
      <c r="AD61" s="13"/>
      <c r="AI61"/>
      <c r="AJ61"/>
      <c r="AL61" s="12"/>
      <c r="AM61" s="12"/>
      <c r="AN61" s="12" t="s">
        <v>57</v>
      </c>
      <c r="AO61" s="12">
        <v>4588.3274346343333</v>
      </c>
      <c r="AP61" s="12">
        <v>204.35398501229702</v>
      </c>
      <c r="AQ61" s="12">
        <v>1.8062796316386016</v>
      </c>
      <c r="AR61" s="12">
        <v>358.86666814134139</v>
      </c>
      <c r="AS61" s="87">
        <v>4575.4451727187661</v>
      </c>
      <c r="AT61" s="87">
        <v>204.25245887178957</v>
      </c>
      <c r="AU61" s="87">
        <v>0</v>
      </c>
      <c r="AV61" s="87">
        <v>-2.4999999999999111E-4</v>
      </c>
      <c r="AW61" s="87">
        <v>7.878590199720803E-6</v>
      </c>
      <c r="AX61" s="12">
        <v>109509.4421467021</v>
      </c>
      <c r="AY61" s="12">
        <v>106572.0286523379</v>
      </c>
      <c r="AZ61" s="12">
        <v>4233.6430079334987</v>
      </c>
      <c r="BA61" s="12">
        <v>51213.997026783545</v>
      </c>
      <c r="BB61" s="12"/>
      <c r="BC61" s="117"/>
      <c r="BD61" s="12"/>
      <c r="BE61" s="12"/>
      <c r="CP61"/>
      <c r="CQ61"/>
      <c r="CR61"/>
    </row>
    <row r="62" spans="1:96">
      <c r="A62" s="171" t="s">
        <v>57</v>
      </c>
      <c r="B62" s="171">
        <v>204.35398501229702</v>
      </c>
      <c r="C62" s="171">
        <v>1.8062796316386016</v>
      </c>
      <c r="D62" s="171">
        <v>358.81557964508835</v>
      </c>
      <c r="E62" s="171" t="s">
        <v>120</v>
      </c>
      <c r="F62" s="171">
        <v>6.4393874275728784</v>
      </c>
      <c r="G62" s="171">
        <v>-0.13610581046476145</v>
      </c>
      <c r="H62" s="171">
        <v>204.25245887178957</v>
      </c>
      <c r="I62" s="171">
        <v>87.005920712702746</v>
      </c>
      <c r="J62" s="171">
        <v>89.455564466166805</v>
      </c>
      <c r="K62" s="171">
        <v>4779.6976315905558</v>
      </c>
      <c r="L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17"/>
      <c r="AD62" s="13"/>
      <c r="AI62"/>
      <c r="AJ62"/>
      <c r="AL62" s="12"/>
      <c r="AM62" s="12"/>
      <c r="AN62" s="12" t="s">
        <v>57</v>
      </c>
      <c r="AO62" s="12">
        <v>4792.6814196466303</v>
      </c>
      <c r="AP62" s="12">
        <v>204.35398501229702</v>
      </c>
      <c r="AQ62" s="12">
        <v>1.8062796316386016</v>
      </c>
      <c r="AR62" s="12">
        <v>358.81557964508835</v>
      </c>
      <c r="AS62" s="87">
        <v>4779.6976315905558</v>
      </c>
      <c r="AT62" s="87">
        <v>204.25245887178957</v>
      </c>
      <c r="AU62" s="87">
        <v>0</v>
      </c>
      <c r="AV62" s="87">
        <v>-2.4999999999999111E-4</v>
      </c>
      <c r="AW62" s="87">
        <v>7.878590199720803E-6</v>
      </c>
      <c r="AX62" s="12">
        <v>105313.27359303198</v>
      </c>
      <c r="AY62" s="12">
        <v>102409.27727571341</v>
      </c>
      <c r="AZ62" s="12">
        <v>4183.0968242551744</v>
      </c>
      <c r="BA62" s="12">
        <v>50907.352699804425</v>
      </c>
      <c r="BB62" s="12"/>
      <c r="BC62" s="117"/>
      <c r="BD62" s="12"/>
      <c r="BE62" s="12"/>
      <c r="CP62"/>
      <c r="CQ62"/>
      <c r="CR62"/>
    </row>
    <row r="63" spans="1:96">
      <c r="A63" s="171" t="s">
        <v>57</v>
      </c>
      <c r="B63" s="171">
        <v>204.35398501229702</v>
      </c>
      <c r="C63" s="171">
        <v>1.8062796316386016</v>
      </c>
      <c r="D63" s="171">
        <v>358.76449114883525</v>
      </c>
      <c r="E63" s="171" t="s">
        <v>120</v>
      </c>
      <c r="F63" s="171">
        <v>6.4392635166060632</v>
      </c>
      <c r="G63" s="171">
        <v>-0.14184709278668955</v>
      </c>
      <c r="H63" s="171">
        <v>204.25245887178957</v>
      </c>
      <c r="I63" s="171">
        <v>93.445184229308808</v>
      </c>
      <c r="J63" s="171">
        <v>92.647050706713443</v>
      </c>
      <c r="K63" s="171">
        <v>4983.9500904623455</v>
      </c>
      <c r="L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17"/>
      <c r="AD63" s="13"/>
      <c r="AI63"/>
      <c r="AJ63"/>
      <c r="AL63" s="12"/>
      <c r="AM63" s="12"/>
      <c r="AN63" s="12" t="s">
        <v>57</v>
      </c>
      <c r="AO63" s="12">
        <v>4997.0354046589273</v>
      </c>
      <c r="AP63" s="12">
        <v>204.35398501229702</v>
      </c>
      <c r="AQ63" s="12">
        <v>1.8062796316386016</v>
      </c>
      <c r="AR63" s="12">
        <v>358.76449114883525</v>
      </c>
      <c r="AS63" s="87">
        <v>4983.9500904623455</v>
      </c>
      <c r="AT63" s="87">
        <v>204.25245887178957</v>
      </c>
      <c r="AU63" s="87">
        <v>0</v>
      </c>
      <c r="AV63" s="87">
        <v>-2.4999999999999111E-4</v>
      </c>
      <c r="AW63" s="87">
        <v>7.878590199720803E-6</v>
      </c>
      <c r="AX63" s="12">
        <v>101118.83902589613</v>
      </c>
      <c r="AY63" s="12">
        <v>98247.087802514099</v>
      </c>
      <c r="AZ63" s="12">
        <v>4133.9630643709506</v>
      </c>
      <c r="BA63" s="12">
        <v>50607.496152308428</v>
      </c>
      <c r="BB63" s="12"/>
      <c r="BC63" s="117"/>
      <c r="BD63" s="12"/>
      <c r="BE63" s="12"/>
      <c r="CP63"/>
      <c r="CQ63"/>
      <c r="CR63"/>
    </row>
    <row r="64" spans="1:96">
      <c r="A64" s="171" t="s">
        <v>57</v>
      </c>
      <c r="B64" s="171">
        <v>204.35398501229702</v>
      </c>
      <c r="C64" s="171">
        <v>1.8062796316386016</v>
      </c>
      <c r="D64" s="171">
        <v>358.7134026525822</v>
      </c>
      <c r="E64" s="171" t="s">
        <v>131</v>
      </c>
      <c r="F64" s="171">
        <v>6.4391344867802704</v>
      </c>
      <c r="G64" s="171">
        <v>-0.14758826234799896</v>
      </c>
      <c r="H64" s="171">
        <v>204.25245887178957</v>
      </c>
      <c r="I64" s="171">
        <v>99.884318716089084</v>
      </c>
      <c r="J64" s="171">
        <v>95.832795777698777</v>
      </c>
      <c r="K64" s="171">
        <v>5188.2025493341353</v>
      </c>
      <c r="L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17"/>
      <c r="AD64" s="13"/>
      <c r="AI64"/>
      <c r="AJ64"/>
      <c r="AL64" s="12"/>
      <c r="AM64" s="12"/>
      <c r="AN64" s="12" t="s">
        <v>57</v>
      </c>
      <c r="AO64" s="12">
        <v>5201.3893896712243</v>
      </c>
      <c r="AP64" s="12">
        <v>204.35398501229702</v>
      </c>
      <c r="AQ64" s="12">
        <v>1.8062796316386016</v>
      </c>
      <c r="AR64" s="12">
        <v>358.7134026525822</v>
      </c>
      <c r="AS64" s="87">
        <v>5188.2025493341353</v>
      </c>
      <c r="AT64" s="87">
        <v>204.25245887178957</v>
      </c>
      <c r="AU64" s="87">
        <v>0</v>
      </c>
      <c r="AV64" s="87">
        <v>-2.4999999999999111E-4</v>
      </c>
      <c r="AW64" s="87">
        <v>7.878590199720803E-6</v>
      </c>
      <c r="AX64" s="12">
        <v>96926.126174982332</v>
      </c>
      <c r="AY64" s="12">
        <v>94085.444531341564</v>
      </c>
      <c r="AZ64" s="12">
        <v>4086.2900203147537</v>
      </c>
      <c r="BA64" s="12">
        <v>50314.846055483125</v>
      </c>
      <c r="BB64" s="12"/>
      <c r="BC64" s="117"/>
      <c r="BD64" s="12"/>
      <c r="BE64" s="12"/>
      <c r="CP64"/>
      <c r="CQ64"/>
      <c r="CR64"/>
    </row>
    <row r="65" spans="1:96">
      <c r="A65" s="171" t="s">
        <v>57</v>
      </c>
      <c r="B65" s="171">
        <v>204.35398501229702</v>
      </c>
      <c r="C65" s="171">
        <v>1.8062796316386016</v>
      </c>
      <c r="D65" s="171">
        <v>358.6623141563291</v>
      </c>
      <c r="E65" s="171" t="s">
        <v>131</v>
      </c>
      <c r="F65" s="171">
        <v>6.4390003381980714</v>
      </c>
      <c r="G65" s="171">
        <v>-0.15332931458479973</v>
      </c>
      <c r="H65" s="171">
        <v>204.25245887178957</v>
      </c>
      <c r="I65" s="171">
        <v>106.32331905428715</v>
      </c>
      <c r="J65" s="171">
        <v>99.012799796447311</v>
      </c>
      <c r="K65" s="171">
        <v>5392.455008205925</v>
      </c>
      <c r="L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17"/>
      <c r="AD65" s="13"/>
      <c r="AI65"/>
      <c r="AJ65"/>
      <c r="AL65" s="12"/>
      <c r="AM65" s="12"/>
      <c r="AN65" s="12" t="s">
        <v>57</v>
      </c>
      <c r="AO65" s="12">
        <v>5405.7433746835213</v>
      </c>
      <c r="AP65" s="12">
        <v>204.35398501229702</v>
      </c>
      <c r="AQ65" s="12">
        <v>1.8062796316386016</v>
      </c>
      <c r="AR65" s="12">
        <v>358.6623141563291</v>
      </c>
      <c r="AS65" s="87">
        <v>5392.455008205925</v>
      </c>
      <c r="AT65" s="87">
        <v>204.25245887178957</v>
      </c>
      <c r="AU65" s="87">
        <v>0</v>
      </c>
      <c r="AV65" s="87">
        <v>-2.4999999999999111E-4</v>
      </c>
      <c r="AW65" s="87">
        <v>7.878590199720803E-6</v>
      </c>
      <c r="AX65" s="12">
        <v>92735.121928487468</v>
      </c>
      <c r="AY65" s="12">
        <v>89924.33122395254</v>
      </c>
      <c r="AZ65" s="12">
        <v>4040.1267294186587</v>
      </c>
      <c r="BA65" s="12">
        <v>50029.832494198061</v>
      </c>
      <c r="BB65" s="12"/>
      <c r="BC65" s="117"/>
      <c r="BD65" s="12"/>
      <c r="BE65" s="12"/>
      <c r="CP65"/>
      <c r="CQ65"/>
      <c r="CR65"/>
    </row>
    <row r="66" spans="1:96">
      <c r="A66" s="171" t="s">
        <v>57</v>
      </c>
      <c r="B66" s="171">
        <v>204.35398501229702</v>
      </c>
      <c r="C66" s="171">
        <v>1.8062796316386016</v>
      </c>
      <c r="D66" s="171">
        <v>358.61122566007606</v>
      </c>
      <c r="E66" s="171" t="s">
        <v>121</v>
      </c>
      <c r="F66" s="171">
        <v>6.438861070966106</v>
      </c>
      <c r="G66" s="171">
        <v>-0.15907024493325514</v>
      </c>
      <c r="H66" s="171">
        <v>204.25245887178957</v>
      </c>
      <c r="I66" s="171">
        <v>112.76218012525327</v>
      </c>
      <c r="J66" s="171">
        <v>102.18706288484738</v>
      </c>
      <c r="K66" s="171">
        <v>5596.7074670777147</v>
      </c>
      <c r="L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17"/>
      <c r="AD66" s="13"/>
      <c r="AI66"/>
      <c r="AJ66"/>
      <c r="AL66" s="12"/>
      <c r="AM66" s="12"/>
      <c r="AN66" s="12" t="s">
        <v>57</v>
      </c>
      <c r="AO66" s="12">
        <v>5610.0973596958183</v>
      </c>
      <c r="AP66" s="12">
        <v>204.35398501229702</v>
      </c>
      <c r="AQ66" s="12">
        <v>1.8062796316386016</v>
      </c>
      <c r="AR66" s="12">
        <v>358.61122566007606</v>
      </c>
      <c r="AS66" s="87">
        <v>5596.7074670777147</v>
      </c>
      <c r="AT66" s="87">
        <v>204.25245887178957</v>
      </c>
      <c r="AU66" s="87">
        <v>0</v>
      </c>
      <c r="AV66" s="87">
        <v>-2.4999999999999111E-4</v>
      </c>
      <c r="AW66" s="87">
        <v>7.878590199720803E-6</v>
      </c>
      <c r="AX66" s="12">
        <v>88545.812261716419</v>
      </c>
      <c r="AY66" s="12">
        <v>85763.731096973686</v>
      </c>
      <c r="AZ66" s="12">
        <v>3995.5228377567137</v>
      </c>
      <c r="BA66" s="12">
        <v>49752.89581043717</v>
      </c>
      <c r="BB66" s="12"/>
      <c r="BC66" s="117"/>
      <c r="BD66" s="12"/>
      <c r="BE66" s="12"/>
      <c r="CP66"/>
      <c r="CQ66"/>
      <c r="CR66"/>
    </row>
    <row r="67" spans="1:96">
      <c r="A67" s="171" t="s">
        <v>57</v>
      </c>
      <c r="B67" s="171">
        <v>204.35398501229702</v>
      </c>
      <c r="C67" s="171">
        <v>1.8062796316386016</v>
      </c>
      <c r="D67" s="171">
        <v>358.56013716382296</v>
      </c>
      <c r="E67" s="171" t="s">
        <v>121</v>
      </c>
      <c r="F67" s="171">
        <v>6.4387166851950859</v>
      </c>
      <c r="G67" s="171">
        <v>-0.16481104882965394</v>
      </c>
      <c r="H67" s="171">
        <v>204.25245887178957</v>
      </c>
      <c r="I67" s="171">
        <v>119.20089681044836</v>
      </c>
      <c r="J67" s="171">
        <v>105.35558516935106</v>
      </c>
      <c r="K67" s="171">
        <v>5800.9599259495044</v>
      </c>
      <c r="L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17"/>
      <c r="AD67" s="13"/>
      <c r="AI67"/>
      <c r="AJ67"/>
      <c r="AL67" s="12"/>
      <c r="AM67" s="12"/>
      <c r="AN67" s="12" t="s">
        <v>57</v>
      </c>
      <c r="AO67" s="12">
        <v>5814.4513447081154</v>
      </c>
      <c r="AP67" s="12">
        <v>204.35398501229702</v>
      </c>
      <c r="AQ67" s="12">
        <v>1.8062796316386016</v>
      </c>
      <c r="AR67" s="12">
        <v>358.56013716382296</v>
      </c>
      <c r="AS67" s="87">
        <v>5800.9599259495044</v>
      </c>
      <c r="AT67" s="87">
        <v>204.25245887178957</v>
      </c>
      <c r="AU67" s="87">
        <v>0</v>
      </c>
      <c r="AV67" s="87">
        <v>-2.4999999999999111E-4</v>
      </c>
      <c r="AW67" s="87">
        <v>7.878590199720803E-6</v>
      </c>
      <c r="AX67" s="12">
        <v>84358.182158928481</v>
      </c>
      <c r="AY67" s="12">
        <v>81603.626815134412</v>
      </c>
      <c r="AZ67" s="12">
        <v>3952.5284443722271</v>
      </c>
      <c r="BA67" s="12">
        <v>49484.485223979638</v>
      </c>
      <c r="BB67" s="12"/>
      <c r="BC67" s="117"/>
      <c r="BD67" s="12"/>
      <c r="BE67" s="12"/>
      <c r="CP67"/>
      <c r="CQ67"/>
      <c r="CR67"/>
    </row>
    <row r="68" spans="1:96">
      <c r="A68" s="171" t="s">
        <v>57</v>
      </c>
      <c r="B68" s="171">
        <v>204.35398501229702</v>
      </c>
      <c r="C68" s="171">
        <v>1.8062796316386016</v>
      </c>
      <c r="D68" s="171">
        <v>358.50904866756991</v>
      </c>
      <c r="E68" s="171" t="s">
        <v>66</v>
      </c>
      <c r="F68" s="171">
        <v>6.4385671809997875</v>
      </c>
      <c r="G68" s="171">
        <v>-0.17055172171036259</v>
      </c>
      <c r="H68" s="171">
        <v>204.25245887178957</v>
      </c>
      <c r="I68" s="171">
        <v>125.63946399144814</v>
      </c>
      <c r="J68" s="171">
        <v>108.51836678097402</v>
      </c>
      <c r="K68" s="171">
        <v>6005.2123848212941</v>
      </c>
      <c r="L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17"/>
      <c r="AD68" s="13"/>
      <c r="AI68"/>
      <c r="AJ68"/>
      <c r="AL68" s="12"/>
      <c r="AM68" s="12"/>
      <c r="AN68" s="12" t="s">
        <v>57</v>
      </c>
      <c r="AO68" s="12">
        <v>6018.8053297204124</v>
      </c>
      <c r="AP68" s="12">
        <v>204.35398501229702</v>
      </c>
      <c r="AQ68" s="12">
        <v>1.8062796316386016</v>
      </c>
      <c r="AR68" s="12">
        <v>358.50904866756991</v>
      </c>
      <c r="AS68" s="87">
        <v>6005.2123848212941</v>
      </c>
      <c r="AT68" s="87">
        <v>204.25245887178957</v>
      </c>
      <c r="AU68" s="87">
        <v>0</v>
      </c>
      <c r="AV68" s="87">
        <v>-2.4999999999999111E-4</v>
      </c>
      <c r="AW68" s="87">
        <v>7.878590199720803E-6</v>
      </c>
      <c r="AX68" s="12">
        <v>80172.215527814595</v>
      </c>
      <c r="AY68" s="12">
        <v>77444.000486231424</v>
      </c>
      <c r="AZ68" s="12">
        <v>3911.1939257701342</v>
      </c>
      <c r="BA68" s="12">
        <v>49225.057219702081</v>
      </c>
      <c r="BB68" s="12"/>
      <c r="BC68" s="117"/>
      <c r="BD68" s="12"/>
      <c r="BE68" s="12"/>
      <c r="CP68"/>
      <c r="CQ68"/>
      <c r="CR68"/>
    </row>
    <row r="69" spans="1:96">
      <c r="A69" s="171" t="s">
        <v>57</v>
      </c>
      <c r="B69" s="171">
        <v>204.35398501229702</v>
      </c>
      <c r="C69" s="171">
        <v>1.8062796316386016</v>
      </c>
      <c r="D69" s="171">
        <v>358.45796017131681</v>
      </c>
      <c r="E69" s="171" t="s">
        <v>66</v>
      </c>
      <c r="F69" s="171">
        <v>6.4384125584990599</v>
      </c>
      <c r="G69" s="171">
        <v>-0.17629225901187454</v>
      </c>
      <c r="H69" s="171">
        <v>204.25245887178957</v>
      </c>
      <c r="I69" s="171">
        <v>132.07787654994721</v>
      </c>
      <c r="J69" s="171">
        <v>111.67540785529548</v>
      </c>
      <c r="K69" s="171">
        <v>6209.4648436930838</v>
      </c>
      <c r="L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17"/>
      <c r="AD69" s="13"/>
      <c r="AI69"/>
      <c r="AJ69"/>
      <c r="AL69" s="12"/>
      <c r="AM69" s="12"/>
      <c r="AN69" s="12" t="s">
        <v>57</v>
      </c>
      <c r="AO69" s="12">
        <v>6223.1593147327094</v>
      </c>
      <c r="AP69" s="12">
        <v>204.35398501229702</v>
      </c>
      <c r="AQ69" s="12">
        <v>1.8062796316386016</v>
      </c>
      <c r="AR69" s="12">
        <v>358.45796017131681</v>
      </c>
      <c r="AS69" s="87">
        <v>6209.4648436930838</v>
      </c>
      <c r="AT69" s="87">
        <v>204.25245887178957</v>
      </c>
      <c r="AU69" s="87">
        <v>0</v>
      </c>
      <c r="AV69" s="87">
        <v>-2.4999999999999111E-4</v>
      </c>
      <c r="AW69" s="87">
        <v>7.878590199720803E-6</v>
      </c>
      <c r="AX69" s="12">
        <v>75987.895105956617</v>
      </c>
      <c r="AY69" s="12">
        <v>73284.833658044226</v>
      </c>
      <c r="AZ69" s="12">
        <v>3871.5697404499256</v>
      </c>
      <c r="BA69" s="12">
        <v>48975.073694030798</v>
      </c>
      <c r="BB69" s="12"/>
      <c r="BC69" s="117"/>
      <c r="BD69" s="12"/>
      <c r="BE69" s="12"/>
      <c r="CP69"/>
      <c r="CQ69"/>
      <c r="CR69"/>
    </row>
    <row r="70" spans="1:96">
      <c r="A70" s="171" t="s">
        <v>57</v>
      </c>
      <c r="B70" s="171">
        <v>204.35398501229702</v>
      </c>
      <c r="C70" s="171">
        <v>1.8062796316386016</v>
      </c>
      <c r="D70" s="171">
        <v>358.40687167506377</v>
      </c>
      <c r="E70" s="171" t="s">
        <v>67</v>
      </c>
      <c r="F70" s="171">
        <v>6.4382528178158189</v>
      </c>
      <c r="G70" s="171">
        <v>-0.18203265617076808</v>
      </c>
      <c r="H70" s="171">
        <v>204.25245887178957</v>
      </c>
      <c r="I70" s="171">
        <v>138.51612936776303</v>
      </c>
      <c r="J70" s="171">
        <v>114.82670853245804</v>
      </c>
      <c r="K70" s="171">
        <v>6413.7173025648735</v>
      </c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17"/>
      <c r="AD70" s="13"/>
      <c r="AI70"/>
      <c r="AJ70"/>
      <c r="AL70" s="12"/>
      <c r="AM70" s="12"/>
      <c r="AN70" s="12" t="s">
        <v>57</v>
      </c>
      <c r="AO70" s="12">
        <v>6427.5132997450064</v>
      </c>
      <c r="AP70" s="12">
        <v>204.35398501229702</v>
      </c>
      <c r="AQ70" s="12">
        <v>1.8062796316386016</v>
      </c>
      <c r="AR70" s="12">
        <v>358.40687167506377</v>
      </c>
      <c r="AS70" s="87">
        <v>6413.7173025648735</v>
      </c>
      <c r="AT70" s="87">
        <v>204.25245887178957</v>
      </c>
      <c r="AU70" s="87">
        <v>0</v>
      </c>
      <c r="AV70" s="87">
        <v>-2.4999999999999111E-4</v>
      </c>
      <c r="AW70" s="87">
        <v>7.878590199720803E-6</v>
      </c>
      <c r="AX70" s="12">
        <v>71805.20235859591</v>
      </c>
      <c r="AY70" s="12">
        <v>69126.107317423666</v>
      </c>
      <c r="AZ70" s="12">
        <v>3833.7062136064465</v>
      </c>
      <c r="BA70" s="12">
        <v>48734.999857020339</v>
      </c>
      <c r="BB70" s="12"/>
      <c r="BC70" s="117"/>
      <c r="BD70" s="12"/>
      <c r="BE70" s="12"/>
      <c r="CP70"/>
      <c r="CQ70"/>
      <c r="CR70"/>
    </row>
    <row r="71" spans="1:96">
      <c r="A71" s="171" t="s">
        <v>57</v>
      </c>
      <c r="B71" s="171">
        <v>204.35398501229702</v>
      </c>
      <c r="C71" s="171">
        <v>1.8062796316386016</v>
      </c>
      <c r="D71" s="171">
        <v>358.35578317881067</v>
      </c>
      <c r="E71" s="171" t="s">
        <v>67</v>
      </c>
      <c r="F71" s="171">
        <v>6.4380879590770501</v>
      </c>
      <c r="G71" s="171">
        <v>-0.1877729086237559</v>
      </c>
      <c r="H71" s="171">
        <v>204.25245887178957</v>
      </c>
      <c r="I71" s="171">
        <v>144.95421732684008</v>
      </c>
      <c r="J71" s="171">
        <v>117.97226895716761</v>
      </c>
      <c r="K71" s="171">
        <v>6617.9697614366632</v>
      </c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17"/>
      <c r="AD71" s="13"/>
      <c r="AI71"/>
      <c r="AJ71"/>
      <c r="AL71" s="12"/>
      <c r="AM71" s="12"/>
      <c r="AN71" s="12" t="s">
        <v>57</v>
      </c>
      <c r="AO71" s="12">
        <v>6631.8672847573034</v>
      </c>
      <c r="AP71" s="12">
        <v>204.35398501229702</v>
      </c>
      <c r="AQ71" s="12">
        <v>1.8062796316386016</v>
      </c>
      <c r="AR71" s="12">
        <v>358.35578317881067</v>
      </c>
      <c r="AS71" s="87">
        <v>6617.9697614366632</v>
      </c>
      <c r="AT71" s="87">
        <v>204.25245887178957</v>
      </c>
      <c r="AU71" s="87">
        <v>0</v>
      </c>
      <c r="AV71" s="87">
        <v>-2.4999999999999111E-4</v>
      </c>
      <c r="AW71" s="87">
        <v>7.878590199720803E-6</v>
      </c>
      <c r="AX71" s="12">
        <v>67624.117367027153</v>
      </c>
      <c r="AY71" s="12">
        <v>64967.801891773845</v>
      </c>
      <c r="AZ71" s="12">
        <v>3797.6533025348826</v>
      </c>
      <c r="BA71" s="12">
        <v>48505.301891286508</v>
      </c>
      <c r="BB71" s="12"/>
      <c r="BC71" s="117"/>
      <c r="BD71" s="12"/>
      <c r="BE71" s="12"/>
      <c r="CP71"/>
      <c r="CQ71"/>
      <c r="CR71"/>
    </row>
    <row r="72" spans="1:96">
      <c r="A72" s="171" t="s">
        <v>57</v>
      </c>
      <c r="B72" s="171">
        <v>204.35398501229702</v>
      </c>
      <c r="C72" s="171">
        <v>1.8062796316386016</v>
      </c>
      <c r="D72" s="171">
        <v>358.30469468255762</v>
      </c>
      <c r="E72" s="171" t="s">
        <v>122</v>
      </c>
      <c r="F72" s="171">
        <v>6.4379179824138069</v>
      </c>
      <c r="G72" s="171">
        <v>-0.19351301180763705</v>
      </c>
      <c r="H72" s="171">
        <v>204.25245887178957</v>
      </c>
      <c r="I72" s="171">
        <v>151.39213530925389</v>
      </c>
      <c r="J72" s="171">
        <v>121.1120892786933</v>
      </c>
      <c r="K72" s="171">
        <v>6822.222220308453</v>
      </c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17"/>
      <c r="AD72" s="13"/>
      <c r="AI72"/>
      <c r="AJ72"/>
      <c r="AL72" s="12"/>
      <c r="AM72" s="12"/>
      <c r="AN72" s="12" t="s">
        <v>57</v>
      </c>
      <c r="AO72" s="12">
        <v>6836.2212697696004</v>
      </c>
      <c r="AP72" s="12">
        <v>204.35398501229702</v>
      </c>
      <c r="AQ72" s="12">
        <v>1.8062796316386016</v>
      </c>
      <c r="AR72" s="12">
        <v>358.30469468255762</v>
      </c>
      <c r="AS72" s="87">
        <v>6822.222220308453</v>
      </c>
      <c r="AT72" s="87">
        <v>204.25245887178957</v>
      </c>
      <c r="AU72" s="87">
        <v>0</v>
      </c>
      <c r="AV72" s="87">
        <v>-2.4999999999999111E-4</v>
      </c>
      <c r="AW72" s="87">
        <v>7.878590199720803E-6</v>
      </c>
      <c r="AX72" s="12">
        <v>63444.618706940069</v>
      </c>
      <c r="AY72" s="12">
        <v>60809.89725314184</v>
      </c>
      <c r="AZ72" s="12">
        <v>3763.4603437387659</v>
      </c>
      <c r="BA72" s="12">
        <v>48286.444374555569</v>
      </c>
      <c r="BB72" s="12"/>
      <c r="BC72" s="117"/>
      <c r="BD72" s="12"/>
      <c r="BE72" s="12"/>
      <c r="CP72"/>
      <c r="CQ72"/>
      <c r="CR72"/>
    </row>
    <row r="73" spans="1:96">
      <c r="A73" s="171" t="s">
        <v>57</v>
      </c>
      <c r="B73" s="171">
        <v>204.35398501229702</v>
      </c>
      <c r="C73" s="171">
        <v>1.8062796316386016</v>
      </c>
      <c r="D73" s="171">
        <v>358.25360618630452</v>
      </c>
      <c r="E73" s="171" t="s">
        <v>122</v>
      </c>
      <c r="F73" s="171">
        <v>6.4377428879612095</v>
      </c>
      <c r="G73" s="171">
        <v>-0.19925296115936925</v>
      </c>
      <c r="H73" s="171">
        <v>204.25245887178957</v>
      </c>
      <c r="I73" s="171">
        <v>157.82987819721509</v>
      </c>
      <c r="J73" s="171">
        <v>124.24616965086726</v>
      </c>
      <c r="K73" s="171">
        <v>7026.4746791802427</v>
      </c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17"/>
      <c r="AD73" s="13"/>
      <c r="AI73"/>
      <c r="AJ73"/>
      <c r="AL73" s="12"/>
      <c r="AM73" s="12"/>
      <c r="AN73" s="12" t="s">
        <v>57</v>
      </c>
      <c r="AO73" s="12">
        <v>7040.5752547818975</v>
      </c>
      <c r="AP73" s="12">
        <v>204.35398501229702</v>
      </c>
      <c r="AQ73" s="12">
        <v>1.8062796316386016</v>
      </c>
      <c r="AR73" s="12">
        <v>358.25360618630452</v>
      </c>
      <c r="AS73" s="87">
        <v>7026.4746791802427</v>
      </c>
      <c r="AT73" s="87">
        <v>204.25245887178957</v>
      </c>
      <c r="AU73" s="87">
        <v>0</v>
      </c>
      <c r="AV73" s="87">
        <v>-2.4999999999999111E-4</v>
      </c>
      <c r="AW73" s="87">
        <v>7.878590199720803E-6</v>
      </c>
      <c r="AX73" s="12">
        <v>59266.683316064547</v>
      </c>
      <c r="AY73" s="12">
        <v>56652.372725118919</v>
      </c>
      <c r="AZ73" s="12">
        <v>3731.1757832489939</v>
      </c>
      <c r="BA73" s="12">
        <v>48078.887478840399</v>
      </c>
      <c r="BB73" s="12"/>
      <c r="BC73" s="117"/>
      <c r="BD73" s="12"/>
      <c r="BE73" s="12"/>
      <c r="CP73"/>
      <c r="CQ73"/>
      <c r="CR73"/>
    </row>
    <row r="74" spans="1:96">
      <c r="A74" s="171" t="s">
        <v>57</v>
      </c>
      <c r="B74" s="171">
        <v>204.35398501229702</v>
      </c>
      <c r="C74" s="171">
        <v>1.8062796316386016</v>
      </c>
      <c r="D74" s="171">
        <v>358.20251769005148</v>
      </c>
      <c r="E74" s="171" t="s">
        <v>70</v>
      </c>
      <c r="F74" s="171">
        <v>6.2766248127333109</v>
      </c>
      <c r="G74" s="171">
        <v>0.20141532722223185</v>
      </c>
      <c r="H74" s="171">
        <v>204.2574501873147</v>
      </c>
      <c r="I74" s="171">
        <v>164.1065030099484</v>
      </c>
      <c r="J74" s="171">
        <v>127.78091831142282</v>
      </c>
      <c r="K74" s="171">
        <v>7230.7321293675577</v>
      </c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17"/>
      <c r="AD74" s="13"/>
      <c r="AI74"/>
      <c r="AJ74"/>
      <c r="AL74" s="12"/>
      <c r="AM74" s="12"/>
      <c r="AN74" s="12" t="s">
        <v>57</v>
      </c>
      <c r="AO74" s="12">
        <v>7244.9292397941945</v>
      </c>
      <c r="AP74" s="12">
        <v>204.35398501229702</v>
      </c>
      <c r="AQ74" s="12">
        <v>1.8062796316386016</v>
      </c>
      <c r="AR74" s="12">
        <v>358.20251769005148</v>
      </c>
      <c r="AS74" s="87">
        <v>7230.7321293675577</v>
      </c>
      <c r="AT74" s="87">
        <v>204.2574501873147</v>
      </c>
      <c r="AU74" s="87">
        <v>-2.2097435872487487E-4</v>
      </c>
      <c r="AV74" s="87">
        <v>-1.9405448710153314E-4</v>
      </c>
      <c r="AW74" s="87">
        <v>2.2105896632413399E-4</v>
      </c>
      <c r="AX74" s="12">
        <v>55090.286350542956</v>
      </c>
      <c r="AY74" s="12">
        <v>52495.20709273954</v>
      </c>
      <c r="AZ74" s="12">
        <v>37081.953339441447</v>
      </c>
      <c r="BA74" s="12">
        <v>151568.01046077505</v>
      </c>
      <c r="BB74" s="12"/>
      <c r="BC74" s="117"/>
      <c r="BD74" s="12"/>
      <c r="BE74" s="12"/>
      <c r="CP74"/>
      <c r="CQ74"/>
      <c r="CR74"/>
    </row>
    <row r="75" spans="1:96">
      <c r="A75" s="171" t="s">
        <v>58</v>
      </c>
      <c r="B75" s="171">
        <v>112.89247697741257</v>
      </c>
      <c r="C75" s="171">
        <v>1.7159656500566716</v>
      </c>
      <c r="D75" s="171">
        <v>358.17429457080709</v>
      </c>
      <c r="E75" s="171" t="s">
        <v>70</v>
      </c>
      <c r="F75" s="171">
        <v>3.2896151544524139</v>
      </c>
      <c r="G75" s="171">
        <v>0.10718492558303913</v>
      </c>
      <c r="H75" s="171">
        <v>112.84447555352608</v>
      </c>
      <c r="I75" s="171">
        <v>167.3961181644008</v>
      </c>
      <c r="J75" s="171">
        <v>131.22143657033919</v>
      </c>
      <c r="K75" s="171">
        <v>7343.5766049210833</v>
      </c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17"/>
      <c r="AD75" s="13"/>
      <c r="AI75"/>
      <c r="AJ75"/>
      <c r="AL75" s="12"/>
      <c r="AM75" s="12"/>
      <c r="AN75" s="12" t="s">
        <v>58</v>
      </c>
      <c r="AO75" s="12">
        <v>7357.8217167716066</v>
      </c>
      <c r="AP75" s="12">
        <v>112.89247697741257</v>
      </c>
      <c r="AQ75" s="12">
        <v>1.7159656500566716</v>
      </c>
      <c r="AR75" s="12">
        <v>358.17429457080709</v>
      </c>
      <c r="AS75" s="87">
        <v>7343.5766049210833</v>
      </c>
      <c r="AT75" s="87">
        <v>112.84447555352608</v>
      </c>
      <c r="AU75" s="87">
        <v>-8.0000000000000188E-4</v>
      </c>
      <c r="AV75" s="87">
        <v>-2.5000000000005134E-4</v>
      </c>
      <c r="AW75" s="87">
        <v>8.0003501295541923E-4</v>
      </c>
      <c r="AX75" s="12">
        <v>49684.397689156416</v>
      </c>
      <c r="AY75" s="12">
        <v>47967.303145231992</v>
      </c>
      <c r="AZ75" s="12">
        <v>62392.011752696453</v>
      </c>
      <c r="BA75" s="12">
        <v>314555.32652511157</v>
      </c>
      <c r="BB75" s="12"/>
      <c r="BC75" s="117"/>
      <c r="BD75" s="12"/>
      <c r="BE75" s="12"/>
      <c r="CP75"/>
      <c r="CQ75"/>
      <c r="CR75"/>
    </row>
    <row r="76" spans="1:96">
      <c r="A76" s="171" t="s">
        <v>58</v>
      </c>
      <c r="B76" s="171">
        <v>112.89247697741257</v>
      </c>
      <c r="C76" s="171">
        <v>1.6256516684747411</v>
      </c>
      <c r="D76" s="171">
        <v>358.14607145156276</v>
      </c>
      <c r="E76" s="171" t="s">
        <v>123</v>
      </c>
      <c r="F76" s="171">
        <v>3.1117941869776491</v>
      </c>
      <c r="G76" s="171">
        <v>0.1029253840996957</v>
      </c>
      <c r="H76" s="171">
        <v>112.84952309491287</v>
      </c>
      <c r="I76" s="171">
        <v>170.50791235137845</v>
      </c>
      <c r="J76" s="171">
        <v>134.65769528777224</v>
      </c>
      <c r="K76" s="171">
        <v>7456.4261280159963</v>
      </c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17"/>
      <c r="AD76" s="13"/>
      <c r="AI76"/>
      <c r="AJ76"/>
      <c r="AL76" s="12"/>
      <c r="AM76" s="12"/>
      <c r="AN76" s="12" t="s">
        <v>58</v>
      </c>
      <c r="AO76" s="12">
        <v>7470.7141937490196</v>
      </c>
      <c r="AP76" s="12">
        <v>112.89247697741257</v>
      </c>
      <c r="AQ76" s="12">
        <v>1.6256516684747411</v>
      </c>
      <c r="AR76" s="12">
        <v>358.14607145156276</v>
      </c>
      <c r="AS76" s="87">
        <v>7456.4261280159963</v>
      </c>
      <c r="AT76" s="87">
        <v>112.84952309491287</v>
      </c>
      <c r="AU76" s="87">
        <v>-8.0000000000000286E-4</v>
      </c>
      <c r="AV76" s="87">
        <v>-2.5000000000005134E-4</v>
      </c>
      <c r="AW76" s="87">
        <v>8.0003142540309696E-4</v>
      </c>
      <c r="AX76" s="12">
        <v>49621.806927856393</v>
      </c>
      <c r="AY76" s="12">
        <v>47965.481761498937</v>
      </c>
      <c r="AZ76" s="12">
        <v>62221.538212692358</v>
      </c>
      <c r="BA76" s="12">
        <v>314118.27802656044</v>
      </c>
      <c r="BB76" s="12"/>
      <c r="BC76" s="117"/>
      <c r="BD76" s="12"/>
      <c r="BE76" s="12"/>
      <c r="CP76"/>
      <c r="CQ76"/>
      <c r="CR76"/>
    </row>
    <row r="77" spans="1:96">
      <c r="A77" s="171" t="s">
        <v>58</v>
      </c>
      <c r="B77" s="171">
        <v>112.89247697741257</v>
      </c>
      <c r="C77" s="171">
        <v>1.5353376868928108</v>
      </c>
      <c r="D77" s="171">
        <v>358.11784833231837</v>
      </c>
      <c r="E77" s="171" t="s">
        <v>123</v>
      </c>
      <c r="F77" s="171">
        <v>2.933970526324595</v>
      </c>
      <c r="G77" s="171">
        <v>9.8490439088295884E-2</v>
      </c>
      <c r="H77" s="171">
        <v>112.85429028642156</v>
      </c>
      <c r="I77" s="171">
        <v>173.44188287770305</v>
      </c>
      <c r="J77" s="171">
        <v>138.08951906019388</v>
      </c>
      <c r="K77" s="171">
        <v>7569.2804183024182</v>
      </c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17"/>
      <c r="AD77" s="13"/>
      <c r="AI77"/>
      <c r="AJ77"/>
      <c r="AL77" s="12"/>
      <c r="AM77" s="12"/>
      <c r="AN77" s="12" t="s">
        <v>58</v>
      </c>
      <c r="AO77" s="12">
        <v>7583.6066707264326</v>
      </c>
      <c r="AP77" s="12">
        <v>112.89247697741257</v>
      </c>
      <c r="AQ77" s="12">
        <v>1.5353376868928108</v>
      </c>
      <c r="AR77" s="12">
        <v>358.11784833231837</v>
      </c>
      <c r="AS77" s="87">
        <v>7569.2804183024182</v>
      </c>
      <c r="AT77" s="87">
        <v>112.85429028642156</v>
      </c>
      <c r="AU77" s="87">
        <v>-8.0000000000000286E-4</v>
      </c>
      <c r="AV77" s="87">
        <v>-2.5000000000005134E-4</v>
      </c>
      <c r="AW77" s="87">
        <v>8.0002803155537229E-4</v>
      </c>
      <c r="AX77" s="12">
        <v>49559.208802593159</v>
      </c>
      <c r="AY77" s="12">
        <v>47963.654739163161</v>
      </c>
      <c r="AZ77" s="12">
        <v>62050.895839752811</v>
      </c>
      <c r="BA77" s="12">
        <v>313680.62264498184</v>
      </c>
      <c r="BB77" s="12"/>
      <c r="BC77" s="117"/>
      <c r="BD77" s="12"/>
      <c r="BE77" s="12"/>
      <c r="CP77"/>
      <c r="CQ77"/>
      <c r="CR77"/>
    </row>
    <row r="78" spans="1:96">
      <c r="A78" s="171" t="s">
        <v>58</v>
      </c>
      <c r="B78" s="171">
        <v>112.89247697741257</v>
      </c>
      <c r="C78" s="171">
        <v>1.4450237053108803</v>
      </c>
      <c r="D78" s="171">
        <v>358.08962521307404</v>
      </c>
      <c r="E78" s="171" t="s">
        <v>123</v>
      </c>
      <c r="F78" s="171">
        <v>2.7561447439221309</v>
      </c>
      <c r="G78" s="171">
        <v>9.3880098119619795E-2</v>
      </c>
      <c r="H78" s="171">
        <v>112.85877711620853</v>
      </c>
      <c r="I78" s="171">
        <v>176.19802762162519</v>
      </c>
      <c r="J78" s="171">
        <v>141.51673249164685</v>
      </c>
      <c r="K78" s="171">
        <v>7682.1391954186265</v>
      </c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17"/>
      <c r="AD78" s="13"/>
      <c r="AI78"/>
      <c r="AJ78"/>
      <c r="AL78" s="12"/>
      <c r="AM78" s="12"/>
      <c r="AN78" s="12" t="s">
        <v>58</v>
      </c>
      <c r="AO78" s="12">
        <v>7696.4991477038457</v>
      </c>
      <c r="AP78" s="12">
        <v>112.89247697741257</v>
      </c>
      <c r="AQ78" s="12">
        <v>1.4450237053108803</v>
      </c>
      <c r="AR78" s="12">
        <v>358.08962521307404</v>
      </c>
      <c r="AS78" s="87">
        <v>7682.1391954186265</v>
      </c>
      <c r="AT78" s="87">
        <v>112.85877711620853</v>
      </c>
      <c r="AU78" s="87">
        <v>-8.0000000000000383E-4</v>
      </c>
      <c r="AV78" s="87">
        <v>-2.5000000000005134E-4</v>
      </c>
      <c r="AW78" s="87">
        <v>8.0002483144842994E-4</v>
      </c>
      <c r="AX78" s="12">
        <v>49496.60342500126</v>
      </c>
      <c r="AY78" s="12">
        <v>47961.82208227746</v>
      </c>
      <c r="AZ78" s="12">
        <v>61880.086305528886</v>
      </c>
      <c r="BA78" s="12">
        <v>313242.35881545092</v>
      </c>
      <c r="BB78" s="12"/>
      <c r="BC78" s="117"/>
      <c r="BD78" s="12"/>
      <c r="BE78" s="12"/>
      <c r="CP78"/>
      <c r="CQ78"/>
      <c r="CR78"/>
    </row>
    <row r="79" spans="1:96">
      <c r="A79" s="171" t="s">
        <v>58</v>
      </c>
      <c r="B79" s="171">
        <v>112.89247697741257</v>
      </c>
      <c r="C79" s="171">
        <v>1.3547097237289498</v>
      </c>
      <c r="D79" s="171">
        <v>358.06140209382966</v>
      </c>
      <c r="E79" s="171" t="s">
        <v>123</v>
      </c>
      <c r="F79" s="171">
        <v>2.578317411176243</v>
      </c>
      <c r="G79" s="171">
        <v>8.9094369720577035E-2</v>
      </c>
      <c r="H79" s="171">
        <v>112.8629835731271</v>
      </c>
      <c r="I79" s="171">
        <v>178.77634503280143</v>
      </c>
      <c r="J79" s="171">
        <v>144.93916019470078</v>
      </c>
      <c r="K79" s="171">
        <v>7795.0021789917537</v>
      </c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17"/>
      <c r="AD79" s="13"/>
      <c r="AI79"/>
      <c r="AJ79"/>
      <c r="AL79" s="12"/>
      <c r="AM79" s="12"/>
      <c r="AN79" s="12" t="s">
        <v>58</v>
      </c>
      <c r="AO79" s="12">
        <v>7809.3916246812587</v>
      </c>
      <c r="AP79" s="12">
        <v>112.89247697741257</v>
      </c>
      <c r="AQ79" s="12">
        <v>1.3547097237289498</v>
      </c>
      <c r="AR79" s="12">
        <v>358.06140209382966</v>
      </c>
      <c r="AS79" s="87">
        <v>7795.0021789917537</v>
      </c>
      <c r="AT79" s="87">
        <v>112.8629835731271</v>
      </c>
      <c r="AU79" s="87">
        <v>-8.0000000000000286E-4</v>
      </c>
      <c r="AV79" s="87">
        <v>-2.5000000000005134E-4</v>
      </c>
      <c r="AW79" s="87">
        <v>8.0002182511638466E-4</v>
      </c>
      <c r="AX79" s="12">
        <v>49433.990906713327</v>
      </c>
      <c r="AY79" s="12">
        <v>47959.983794911059</v>
      </c>
      <c r="AZ79" s="12">
        <v>61709.111282386162</v>
      </c>
      <c r="BA79" s="12">
        <v>312803.48496127373</v>
      </c>
      <c r="BB79" s="12"/>
      <c r="BC79" s="117"/>
      <c r="BD79" s="12"/>
      <c r="BE79" s="12"/>
      <c r="CP79"/>
      <c r="CQ79"/>
      <c r="CR79"/>
    </row>
    <row r="80" spans="1:96">
      <c r="A80" s="171" t="s">
        <v>58</v>
      </c>
      <c r="B80" s="171">
        <v>112.89247697741257</v>
      </c>
      <c r="C80" s="171">
        <v>1.2643957421470196</v>
      </c>
      <c r="D80" s="171">
        <v>358.03317897458533</v>
      </c>
      <c r="E80" s="171" t="s">
        <v>191</v>
      </c>
      <c r="F80" s="171">
        <v>2.4004890994878592</v>
      </c>
      <c r="G80" s="171">
        <v>8.4133263372232509E-2</v>
      </c>
      <c r="H80" s="171">
        <v>112.86690964672805</v>
      </c>
      <c r="I80" s="171">
        <v>181.17683413228929</v>
      </c>
      <c r="J80" s="171">
        <v>148.35662679140634</v>
      </c>
      <c r="K80" s="171">
        <v>7907.869088638482</v>
      </c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17"/>
      <c r="AD80" s="13"/>
      <c r="AI80"/>
      <c r="AJ80"/>
      <c r="AL80" s="12"/>
      <c r="AM80" s="12"/>
      <c r="AN80" s="12" t="s">
        <v>58</v>
      </c>
      <c r="AO80" s="12">
        <v>7922.2841016586717</v>
      </c>
      <c r="AP80" s="12">
        <v>112.89247697741257</v>
      </c>
      <c r="AQ80" s="12">
        <v>1.2643957421470196</v>
      </c>
      <c r="AR80" s="12">
        <v>358.03317897458533</v>
      </c>
      <c r="AS80" s="87">
        <v>7907.869088638482</v>
      </c>
      <c r="AT80" s="87">
        <v>112.86690964672805</v>
      </c>
      <c r="AU80" s="87">
        <v>-8.0000000000000286E-4</v>
      </c>
      <c r="AV80" s="87">
        <v>-2.4999999999979959E-4</v>
      </c>
      <c r="AW80" s="87">
        <v>8.000190125912913E-4</v>
      </c>
      <c r="AX80" s="12">
        <v>49371.371359360885</v>
      </c>
      <c r="AY80" s="12">
        <v>47958.139881149684</v>
      </c>
      <c r="AZ80" s="12">
        <v>61537.972443396218</v>
      </c>
      <c r="BA80" s="12">
        <v>312363.99949388858</v>
      </c>
      <c r="BB80" s="12"/>
      <c r="BC80" s="117"/>
      <c r="BD80" s="12"/>
      <c r="BE80" s="12"/>
      <c r="CP80"/>
      <c r="CQ80"/>
      <c r="CR80"/>
    </row>
    <row r="81" spans="1:96">
      <c r="A81" s="171" t="s">
        <v>58</v>
      </c>
      <c r="B81" s="171">
        <v>112.89247697741257</v>
      </c>
      <c r="C81" s="171">
        <v>1.1740817605650891</v>
      </c>
      <c r="D81" s="171">
        <v>358.004955855341</v>
      </c>
      <c r="E81" s="171" t="s">
        <v>191</v>
      </c>
      <c r="F81" s="171">
        <v>2.2226603802362703</v>
      </c>
      <c r="G81" s="171">
        <v>7.8996789513399376E-2</v>
      </c>
      <c r="H81" s="171">
        <v>112.87055532725735</v>
      </c>
      <c r="I81" s="171">
        <v>183.39949451252556</v>
      </c>
      <c r="J81" s="171">
        <v>151.7689569142531</v>
      </c>
      <c r="K81" s="171">
        <v>8020.7396439657396</v>
      </c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17"/>
      <c r="AD81" s="13"/>
      <c r="AI81"/>
      <c r="AJ81"/>
      <c r="AL81" s="12"/>
      <c r="AM81" s="12"/>
      <c r="AN81" s="12" t="s">
        <v>58</v>
      </c>
      <c r="AO81" s="12">
        <v>8035.1765786360847</v>
      </c>
      <c r="AP81" s="12">
        <v>112.89247697741257</v>
      </c>
      <c r="AQ81" s="12">
        <v>1.1740817605650891</v>
      </c>
      <c r="AR81" s="12">
        <v>358.004955855341</v>
      </c>
      <c r="AS81" s="87">
        <v>8020.7396439657396</v>
      </c>
      <c r="AT81" s="87">
        <v>112.87055532725735</v>
      </c>
      <c r="AU81" s="87">
        <v>-8.0000000000000383E-4</v>
      </c>
      <c r="AV81" s="87">
        <v>-2.5000000000005134E-4</v>
      </c>
      <c r="AW81" s="87">
        <v>8.0001639390313631E-4</v>
      </c>
      <c r="AX81" s="12">
        <v>49308.744894575153</v>
      </c>
      <c r="AY81" s="12">
        <v>47956.2903450956</v>
      </c>
      <c r="AZ81" s="12">
        <v>61366.671462324812</v>
      </c>
      <c r="BA81" s="12">
        <v>311923.90081276331</v>
      </c>
      <c r="BB81" s="12"/>
      <c r="BC81" s="117"/>
      <c r="BD81" s="12"/>
      <c r="BE81" s="12"/>
      <c r="CP81"/>
      <c r="CQ81"/>
      <c r="CR81"/>
    </row>
    <row r="82" spans="1:96">
      <c r="A82" s="171" t="s">
        <v>58</v>
      </c>
      <c r="B82" s="171">
        <v>112.89247697741257</v>
      </c>
      <c r="C82" s="171">
        <v>1.0837677789831586</v>
      </c>
      <c r="D82" s="171">
        <v>357.97673273609661</v>
      </c>
      <c r="E82" s="171" t="s">
        <v>191</v>
      </c>
      <c r="F82" s="171">
        <v>2.0448318248250059</v>
      </c>
      <c r="G82" s="171">
        <v>7.3684959538344225E-2</v>
      </c>
      <c r="H82" s="171">
        <v>112.87392060565786</v>
      </c>
      <c r="I82" s="171">
        <v>185.44432633735056</v>
      </c>
      <c r="J82" s="171">
        <v>155.17597520712479</v>
      </c>
      <c r="K82" s="171">
        <v>8133.6135645713975</v>
      </c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17"/>
      <c r="AD82" s="13"/>
      <c r="AI82"/>
      <c r="AJ82"/>
      <c r="AL82" s="12"/>
      <c r="AM82" s="12"/>
      <c r="AN82" s="12" t="s">
        <v>58</v>
      </c>
      <c r="AO82" s="12">
        <v>8148.0690556134978</v>
      </c>
      <c r="AP82" s="12">
        <v>112.89247697741257</v>
      </c>
      <c r="AQ82" s="12">
        <v>1.0837677789831586</v>
      </c>
      <c r="AR82" s="12">
        <v>357.97673273609661</v>
      </c>
      <c r="AS82" s="87">
        <v>8133.6135645713975</v>
      </c>
      <c r="AT82" s="87">
        <v>112.87392060565786</v>
      </c>
      <c r="AU82" s="87">
        <v>-8.000000000000034E-4</v>
      </c>
      <c r="AV82" s="87">
        <v>-2.5000000000005134E-4</v>
      </c>
      <c r="AW82" s="87">
        <v>8.0001396907983669E-4</v>
      </c>
      <c r="AX82" s="12">
        <v>49246.111623987752</v>
      </c>
      <c r="AY82" s="12">
        <v>47954.43519086764</v>
      </c>
      <c r="AZ82" s="12">
        <v>61195.210013623117</v>
      </c>
      <c r="BA82" s="12">
        <v>311483.18730529211</v>
      </c>
      <c r="BB82" s="12"/>
      <c r="BC82" s="117"/>
      <c r="BD82" s="12"/>
      <c r="BE82" s="12"/>
      <c r="CP82"/>
      <c r="CQ82"/>
      <c r="CR82"/>
    </row>
    <row r="83" spans="1:96">
      <c r="A83" s="171" t="s">
        <v>58</v>
      </c>
      <c r="B83" s="171">
        <v>112.89247697741257</v>
      </c>
      <c r="C83" s="171">
        <v>0.99345379740122819</v>
      </c>
      <c r="D83" s="171">
        <v>357.94850961685228</v>
      </c>
      <c r="E83" s="171" t="s">
        <v>124</v>
      </c>
      <c r="F83" s="171">
        <v>1.867004004608233</v>
      </c>
      <c r="G83" s="171">
        <v>6.8197785797315849E-2</v>
      </c>
      <c r="H83" s="171">
        <v>112.87700547356974</v>
      </c>
      <c r="I83" s="171">
        <v>187.31133034195878</v>
      </c>
      <c r="J83" s="171">
        <v>158.57750632625545</v>
      </c>
      <c r="K83" s="171">
        <v>8246.4905700449672</v>
      </c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17"/>
      <c r="AD83" s="13"/>
      <c r="AI83"/>
      <c r="AJ83"/>
      <c r="AL83" s="12"/>
      <c r="AM83" s="12"/>
      <c r="AN83" s="12" t="s">
        <v>58</v>
      </c>
      <c r="AO83" s="12">
        <v>8260.9615325909108</v>
      </c>
      <c r="AP83" s="12">
        <v>112.89247697741257</v>
      </c>
      <c r="AQ83" s="12">
        <v>0.99345379740122819</v>
      </c>
      <c r="AR83" s="12">
        <v>357.94850961685228</v>
      </c>
      <c r="AS83" s="87">
        <v>8246.4905700449672</v>
      </c>
      <c r="AT83" s="87">
        <v>112.87700547356974</v>
      </c>
      <c r="AU83" s="87">
        <v>-8.0000000000000286E-4</v>
      </c>
      <c r="AV83" s="87">
        <v>-2.5000000000005134E-4</v>
      </c>
      <c r="AW83" s="87">
        <v>8.000117381472472E-4</v>
      </c>
      <c r="AX83" s="12">
        <v>49183.471659231567</v>
      </c>
      <c r="AY83" s="12">
        <v>47952.574422601327</v>
      </c>
      <c r="AZ83" s="12">
        <v>61023.589772418927</v>
      </c>
      <c r="BA83" s="12">
        <v>311041.85734669369</v>
      </c>
      <c r="BB83" s="12"/>
      <c r="BC83" s="117"/>
      <c r="BD83" s="12"/>
      <c r="BE83" s="12"/>
      <c r="CP83"/>
      <c r="CQ83"/>
      <c r="CR83"/>
    </row>
    <row r="84" spans="1:96">
      <c r="A84" s="171" t="s">
        <v>58</v>
      </c>
      <c r="B84" s="171">
        <v>112.89247697741257</v>
      </c>
      <c r="C84" s="171">
        <v>0.90313981581929781</v>
      </c>
      <c r="D84" s="171">
        <v>357.92028649760789</v>
      </c>
      <c r="E84" s="171" t="s">
        <v>124</v>
      </c>
      <c r="F84" s="171">
        <v>1.6891774909588031</v>
      </c>
      <c r="G84" s="171">
        <v>6.2535281596098655E-2</v>
      </c>
      <c r="H84" s="171">
        <v>112.87980992332882</v>
      </c>
      <c r="I84" s="171">
        <v>189.00050783291758</v>
      </c>
      <c r="J84" s="171">
        <v>161.97337494118489</v>
      </c>
      <c r="K84" s="171">
        <v>8359.3703799682953</v>
      </c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17"/>
      <c r="AD84" s="13"/>
      <c r="AI84"/>
      <c r="AJ84"/>
      <c r="AL84" s="12"/>
      <c r="AM84" s="12"/>
      <c r="AN84" s="12" t="s">
        <v>58</v>
      </c>
      <c r="AO84" s="12">
        <v>8373.8540095683238</v>
      </c>
      <c r="AP84" s="12">
        <v>112.89247697741257</v>
      </c>
      <c r="AQ84" s="12">
        <v>0.90313981581929781</v>
      </c>
      <c r="AR84" s="12">
        <v>357.92028649760789</v>
      </c>
      <c r="AS84" s="87">
        <v>8359.3703799682953</v>
      </c>
      <c r="AT84" s="87">
        <v>112.87980992332882</v>
      </c>
      <c r="AU84" s="87">
        <v>-8.000000000000034E-4</v>
      </c>
      <c r="AV84" s="87">
        <v>-2.5000000000005134E-4</v>
      </c>
      <c r="AW84" s="87">
        <v>8.0000970112915491E-4</v>
      </c>
      <c r="AX84" s="12">
        <v>49120.825111941507</v>
      </c>
      <c r="AY84" s="12">
        <v>47950.708044448897</v>
      </c>
      <c r="AZ84" s="12">
        <v>60851.81241450581</v>
      </c>
      <c r="BA84" s="12">
        <v>310599.90929990541</v>
      </c>
      <c r="BB84" s="12"/>
      <c r="BC84" s="117"/>
      <c r="BD84" s="12"/>
      <c r="BE84" s="12"/>
      <c r="CP84"/>
      <c r="CQ84"/>
      <c r="CR84"/>
    </row>
    <row r="85" spans="1:96">
      <c r="A85" s="171" t="s">
        <v>58</v>
      </c>
      <c r="B85" s="171">
        <v>112.89247697741257</v>
      </c>
      <c r="C85" s="171">
        <v>0.81282583423736732</v>
      </c>
      <c r="D85" s="171">
        <v>357.89206337836356</v>
      </c>
      <c r="E85" s="171" t="s">
        <v>124</v>
      </c>
      <c r="F85" s="171">
        <v>1.5113528551911817</v>
      </c>
      <c r="G85" s="171">
        <v>5.669746119624907E-2</v>
      </c>
      <c r="H85" s="171">
        <v>112.88233394796907</v>
      </c>
      <c r="I85" s="171">
        <v>190.51186068810875</v>
      </c>
      <c r="J85" s="171">
        <v>165.36340573571448</v>
      </c>
      <c r="K85" s="171">
        <v>8472.2527139162648</v>
      </c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17"/>
      <c r="AD85" s="13"/>
      <c r="AI85"/>
      <c r="AJ85"/>
      <c r="AL85" s="12"/>
      <c r="AM85" s="12"/>
      <c r="AN85" s="12" t="s">
        <v>58</v>
      </c>
      <c r="AO85" s="12">
        <v>8486.7464865457368</v>
      </c>
      <c r="AP85" s="12">
        <v>112.89247697741257</v>
      </c>
      <c r="AQ85" s="12">
        <v>0.81282583423736732</v>
      </c>
      <c r="AR85" s="12">
        <v>357.89206337836356</v>
      </c>
      <c r="AS85" s="87">
        <v>8472.2527139162648</v>
      </c>
      <c r="AT85" s="87">
        <v>112.88233394796907</v>
      </c>
      <c r="AU85" s="87">
        <v>-8.000000000000034E-4</v>
      </c>
      <c r="AV85" s="87">
        <v>-2.4999999999979959E-4</v>
      </c>
      <c r="AW85" s="87">
        <v>8.0000785804727693E-4</v>
      </c>
      <c r="AX85" s="12">
        <v>49058.172093755275</v>
      </c>
      <c r="AY85" s="12">
        <v>47948.836060579328</v>
      </c>
      <c r="AZ85" s="12">
        <v>60679.879616334722</v>
      </c>
      <c r="BA85" s="12">
        <v>310157.34151547652</v>
      </c>
      <c r="BB85" s="12"/>
      <c r="BC85" s="117"/>
      <c r="BD85" s="12"/>
      <c r="BE85" s="12"/>
      <c r="CP85"/>
      <c r="CQ85"/>
      <c r="CR85"/>
    </row>
    <row r="86" spans="1:96">
      <c r="A86" s="171" t="s">
        <v>58</v>
      </c>
      <c r="B86" s="171">
        <v>112.89247697741257</v>
      </c>
      <c r="C86" s="171">
        <v>0.72251185265543694</v>
      </c>
      <c r="D86" s="171">
        <v>357.86384025911923</v>
      </c>
      <c r="E86" s="171" t="s">
        <v>124</v>
      </c>
      <c r="F86" s="171">
        <v>1.3335306686659405</v>
      </c>
      <c r="G86" s="171">
        <v>5.0684339817998775E-2</v>
      </c>
      <c r="H86" s="171">
        <v>112.88457754121907</v>
      </c>
      <c r="I86" s="171">
        <v>191.84539135677468</v>
      </c>
      <c r="J86" s="171">
        <v>168.74742340886581</v>
      </c>
      <c r="K86" s="171">
        <v>8585.137291457484</v>
      </c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17"/>
      <c r="AD86" s="13"/>
      <c r="AI86"/>
      <c r="AJ86"/>
      <c r="AL86" s="12"/>
      <c r="AM86" s="12"/>
      <c r="AN86" s="12" t="s">
        <v>58</v>
      </c>
      <c r="AO86" s="12">
        <v>8599.6389635231499</v>
      </c>
      <c r="AP86" s="12">
        <v>112.89247697741257</v>
      </c>
      <c r="AQ86" s="12">
        <v>0.72251185265543694</v>
      </c>
      <c r="AR86" s="12">
        <v>357.86384025911923</v>
      </c>
      <c r="AS86" s="87">
        <v>8585.137291457484</v>
      </c>
      <c r="AT86" s="87">
        <v>112.88457754121907</v>
      </c>
      <c r="AU86" s="87">
        <v>-8.000000000000034E-4</v>
      </c>
      <c r="AV86" s="87">
        <v>-2.5000000000005134E-4</v>
      </c>
      <c r="AW86" s="87">
        <v>8.0000620892126529E-4</v>
      </c>
      <c r="AX86" s="12">
        <v>48995.512716314268</v>
      </c>
      <c r="AY86" s="12">
        <v>47946.958475178508</v>
      </c>
      <c r="AZ86" s="12">
        <v>60507.793055003327</v>
      </c>
      <c r="BA86" s="12">
        <v>309714.15233146294</v>
      </c>
      <c r="BB86" s="12"/>
      <c r="BC86" s="117"/>
      <c r="BD86" s="12"/>
      <c r="BE86" s="12"/>
      <c r="CP86"/>
      <c r="CQ86"/>
      <c r="CR86"/>
    </row>
    <row r="87" spans="1:96">
      <c r="A87" s="171" t="s">
        <v>58</v>
      </c>
      <c r="B87" s="171">
        <v>112.89247697741257</v>
      </c>
      <c r="C87" s="171">
        <v>0.63219787107350645</v>
      </c>
      <c r="D87" s="171">
        <v>357.83561713987484</v>
      </c>
      <c r="E87" s="171" t="s">
        <v>68</v>
      </c>
      <c r="F87" s="171">
        <v>1.1557115026459781</v>
      </c>
      <c r="G87" s="171">
        <v>4.4495933631533972E-2</v>
      </c>
      <c r="H87" s="171">
        <v>112.88654069750541</v>
      </c>
      <c r="I87" s="171">
        <v>193.00110285942066</v>
      </c>
      <c r="J87" s="171">
        <v>172.12525267583069</v>
      </c>
      <c r="K87" s="171">
        <v>8698.0238321549896</v>
      </c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17"/>
      <c r="AD87" s="13"/>
      <c r="AI87"/>
      <c r="AJ87"/>
      <c r="AL87" s="12"/>
      <c r="AM87" s="12"/>
      <c r="AN87" s="12" t="s">
        <v>58</v>
      </c>
      <c r="AO87" s="12">
        <v>8712.5314405005629</v>
      </c>
      <c r="AP87" s="12">
        <v>112.89247697741257</v>
      </c>
      <c r="AQ87" s="12">
        <v>0.63219787107350645</v>
      </c>
      <c r="AR87" s="12">
        <v>357.83561713987484</v>
      </c>
      <c r="AS87" s="87">
        <v>8698.0238321549896</v>
      </c>
      <c r="AT87" s="87">
        <v>112.88654069750541</v>
      </c>
      <c r="AU87" s="87">
        <v>-8.000000000000034E-4</v>
      </c>
      <c r="AV87" s="87">
        <v>-2.5000000000005134E-4</v>
      </c>
      <c r="AW87" s="87">
        <v>8.0000475376870294E-4</v>
      </c>
      <c r="AX87" s="12">
        <v>48932.847091264295</v>
      </c>
      <c r="AY87" s="12">
        <v>47945.075292449161</v>
      </c>
      <c r="AZ87" s="12">
        <v>60335.554408247895</v>
      </c>
      <c r="BA87" s="12">
        <v>309270.34007331711</v>
      </c>
      <c r="BB87" s="12"/>
      <c r="BC87" s="117"/>
      <c r="BD87" s="12"/>
      <c r="BE87" s="12"/>
      <c r="CP87"/>
      <c r="CQ87"/>
      <c r="CR87"/>
    </row>
    <row r="88" spans="1:96">
      <c r="A88" s="171" t="s">
        <v>58</v>
      </c>
      <c r="B88" s="171">
        <v>112.89247697741257</v>
      </c>
      <c r="C88" s="171">
        <v>0.54188388949157607</v>
      </c>
      <c r="D88" s="171">
        <v>357.80739402063051</v>
      </c>
      <c r="E88" s="171" t="s">
        <v>68</v>
      </c>
      <c r="F88" s="171">
        <v>0.97789592843238138</v>
      </c>
      <c r="G88" s="171">
        <v>3.8132259768918687E-2</v>
      </c>
      <c r="H88" s="171">
        <v>112.88822341195132</v>
      </c>
      <c r="I88" s="171">
        <v>193.97899878785304</v>
      </c>
      <c r="J88" s="171">
        <v>175.49671826893297</v>
      </c>
      <c r="K88" s="171">
        <v>8810.9120555669415</v>
      </c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17"/>
      <c r="AD88" s="13"/>
      <c r="AI88"/>
      <c r="AJ88"/>
      <c r="AL88" s="12"/>
      <c r="AM88" s="12"/>
      <c r="AN88" s="12" t="s">
        <v>58</v>
      </c>
      <c r="AO88" s="12">
        <v>8825.4239174779759</v>
      </c>
      <c r="AP88" s="12">
        <v>112.89247697741257</v>
      </c>
      <c r="AQ88" s="12">
        <v>0.54188388949157607</v>
      </c>
      <c r="AR88" s="12">
        <v>357.80739402063051</v>
      </c>
      <c r="AS88" s="87">
        <v>8810.9120555669415</v>
      </c>
      <c r="AT88" s="87">
        <v>112.88822341195132</v>
      </c>
      <c r="AU88" s="87">
        <v>-8.0000000000000307E-4</v>
      </c>
      <c r="AV88" s="87">
        <v>-2.5000000000005134E-4</v>
      </c>
      <c r="AW88" s="87">
        <v>8.000034926051049E-4</v>
      </c>
      <c r="AX88" s="12">
        <v>48870.175330256519</v>
      </c>
      <c r="AY88" s="12">
        <v>47943.186516611029</v>
      </c>
      <c r="AZ88" s="12">
        <v>60163.165354433819</v>
      </c>
      <c r="BA88" s="12">
        <v>308825.9030537802</v>
      </c>
      <c r="BB88" s="12"/>
      <c r="BC88" s="117"/>
      <c r="BD88" s="12"/>
      <c r="BE88" s="12"/>
      <c r="CP88"/>
      <c r="CQ88"/>
      <c r="CR88"/>
    </row>
    <row r="89" spans="1:96">
      <c r="A89" s="171" t="s">
        <v>58</v>
      </c>
      <c r="B89" s="171">
        <v>112.89247697741257</v>
      </c>
      <c r="C89" s="171">
        <v>0.45156990790964563</v>
      </c>
      <c r="D89" s="171">
        <v>357.77917090138612</v>
      </c>
      <c r="E89" s="171" t="s">
        <v>68</v>
      </c>
      <c r="F89" s="171">
        <v>0.80008451726386209</v>
      </c>
      <c r="G89" s="171">
        <v>3.1593336313499233E-2</v>
      </c>
      <c r="H89" s="171">
        <v>112.88962568037604</v>
      </c>
      <c r="I89" s="171">
        <v>194.7790833051169</v>
      </c>
      <c r="J89" s="171">
        <v>178.86164493857981</v>
      </c>
      <c r="K89" s="171">
        <v>8923.8016812473179</v>
      </c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17"/>
      <c r="AD89" s="13"/>
      <c r="AI89"/>
      <c r="AJ89"/>
      <c r="AL89" s="12"/>
      <c r="AM89" s="12"/>
      <c r="AN89" s="12" t="s">
        <v>58</v>
      </c>
      <c r="AO89" s="12">
        <v>8938.3163944553889</v>
      </c>
      <c r="AP89" s="12">
        <v>112.89247697741257</v>
      </c>
      <c r="AQ89" s="12">
        <v>0.45156990790964563</v>
      </c>
      <c r="AR89" s="12">
        <v>357.77917090138612</v>
      </c>
      <c r="AS89" s="87">
        <v>8923.8016812473179</v>
      </c>
      <c r="AT89" s="87">
        <v>112.88962568037604</v>
      </c>
      <c r="AU89" s="87">
        <v>-8.000000000000034E-4</v>
      </c>
      <c r="AV89" s="87">
        <v>-2.5000000000005134E-4</v>
      </c>
      <c r="AW89" s="87">
        <v>8.000024254439191E-4</v>
      </c>
      <c r="AX89" s="12">
        <v>48807.497544948223</v>
      </c>
      <c r="AY89" s="12">
        <v>47941.292151900852</v>
      </c>
      <c r="AZ89" s="12">
        <v>59990.627572545884</v>
      </c>
      <c r="BA89" s="12">
        <v>308380.83957277058</v>
      </c>
      <c r="BB89" s="12"/>
      <c r="BC89" s="117"/>
      <c r="BD89" s="12"/>
      <c r="BE89" s="12"/>
      <c r="CP89"/>
      <c r="CQ89"/>
      <c r="CR89"/>
    </row>
    <row r="90" spans="1:96">
      <c r="A90" s="171" t="s">
        <v>58</v>
      </c>
      <c r="B90" s="171">
        <v>112.89247697741257</v>
      </c>
      <c r="C90" s="171">
        <v>0.36125592632771519</v>
      </c>
      <c r="D90" s="171">
        <v>357.75094778214179</v>
      </c>
      <c r="E90" s="171" t="s">
        <v>68</v>
      </c>
      <c r="F90" s="171">
        <v>0.62227784036785194</v>
      </c>
      <c r="G90" s="171">
        <v>2.4879182306146632E-2</v>
      </c>
      <c r="H90" s="171">
        <v>112.89074749929628</v>
      </c>
      <c r="I90" s="171">
        <v>195.40136114548474</v>
      </c>
      <c r="J90" s="171">
        <v>182.21985745421929</v>
      </c>
      <c r="K90" s="171">
        <v>9036.6924287466136</v>
      </c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17"/>
      <c r="AD90" s="13"/>
      <c r="AI90"/>
      <c r="AJ90"/>
      <c r="AL90" s="12"/>
      <c r="AM90" s="12"/>
      <c r="AN90" s="12" t="s">
        <v>58</v>
      </c>
      <c r="AO90" s="12">
        <v>9051.208871432802</v>
      </c>
      <c r="AP90" s="12">
        <v>112.89247697741257</v>
      </c>
      <c r="AQ90" s="12">
        <v>0.36125592632771519</v>
      </c>
      <c r="AR90" s="12">
        <v>357.75094778214179</v>
      </c>
      <c r="AS90" s="87">
        <v>9036.6924287466136</v>
      </c>
      <c r="AT90" s="87">
        <v>112.89074749929628</v>
      </c>
      <c r="AU90" s="87">
        <v>-8.0000000000000307E-4</v>
      </c>
      <c r="AV90" s="87">
        <v>-2.4999999999979959E-4</v>
      </c>
      <c r="AW90" s="87">
        <v>8.0000155229652259E-4</v>
      </c>
      <c r="AX90" s="12">
        <v>48744.813847003752</v>
      </c>
      <c r="AY90" s="12">
        <v>47939.392202572497</v>
      </c>
      <c r="AZ90" s="12">
        <v>59817.942742179926</v>
      </c>
      <c r="BA90" s="12">
        <v>307935.14791727217</v>
      </c>
      <c r="BB90" s="12"/>
      <c r="BC90" s="117"/>
      <c r="BD90" s="12"/>
      <c r="BE90" s="12"/>
      <c r="CP90"/>
      <c r="CQ90"/>
      <c r="CR90"/>
    </row>
    <row r="91" spans="1:96">
      <c r="A91" s="171" t="s">
        <v>58</v>
      </c>
      <c r="B91" s="171">
        <v>112.89247697741257</v>
      </c>
      <c r="C91" s="171">
        <v>0.27094194474578481</v>
      </c>
      <c r="D91" s="171">
        <v>357.72272466289746</v>
      </c>
      <c r="E91" s="171" t="s">
        <v>69</v>
      </c>
      <c r="F91" s="171">
        <v>0.44447646895436405</v>
      </c>
      <c r="G91" s="171">
        <v>1.7989817743582371E-2</v>
      </c>
      <c r="H91" s="171">
        <v>112.89158886592513</v>
      </c>
      <c r="I91" s="171">
        <v>195.84583761443912</v>
      </c>
      <c r="J91" s="171">
        <v>185.57118060529621</v>
      </c>
      <c r="K91" s="171">
        <v>9149.5840176125384</v>
      </c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17"/>
      <c r="AD91" s="13"/>
      <c r="AI91"/>
      <c r="AJ91"/>
      <c r="AL91" s="12"/>
      <c r="AM91" s="12"/>
      <c r="AN91" s="12" t="s">
        <v>58</v>
      </c>
      <c r="AO91" s="12">
        <v>9164.101348410215</v>
      </c>
      <c r="AP91" s="12">
        <v>112.89247697741257</v>
      </c>
      <c r="AQ91" s="12">
        <v>0.27094194474578481</v>
      </c>
      <c r="AR91" s="12">
        <v>357.72272466289746</v>
      </c>
      <c r="AS91" s="87">
        <v>9149.5840176125384</v>
      </c>
      <c r="AT91" s="87">
        <v>112.89158886592513</v>
      </c>
      <c r="AU91" s="87">
        <v>-8.0000000000000307E-4</v>
      </c>
      <c r="AV91" s="87">
        <v>-2.5000000000005134E-4</v>
      </c>
      <c r="AW91" s="87">
        <v>8.0000087317222619E-4</v>
      </c>
      <c r="AX91" s="12">
        <v>48682.124348095444</v>
      </c>
      <c r="AY91" s="12">
        <v>47937.486672896994</v>
      </c>
      <c r="AZ91" s="12">
        <v>59645.112543533745</v>
      </c>
      <c r="BA91" s="12">
        <v>307488.82636122237</v>
      </c>
      <c r="BB91" s="12"/>
      <c r="BC91" s="117"/>
      <c r="BD91" s="12"/>
      <c r="BE91" s="12"/>
      <c r="CP91"/>
      <c r="CQ91"/>
      <c r="CR91"/>
    </row>
    <row r="92" spans="1:96">
      <c r="A92" s="171" t="s">
        <v>58</v>
      </c>
      <c r="B92" s="171">
        <v>112.89247697741257</v>
      </c>
      <c r="C92" s="171">
        <v>0.18062796316385438</v>
      </c>
      <c r="D92" s="171">
        <v>357.69450154365308</v>
      </c>
      <c r="E92" s="171" t="s">
        <v>69</v>
      </c>
      <c r="F92" s="171">
        <v>0.26668097416274072</v>
      </c>
      <c r="G92" s="171">
        <v>1.092526357630175E-2</v>
      </c>
      <c r="H92" s="171">
        <v>112.89214977817215</v>
      </c>
      <c r="I92" s="171">
        <v>196.11251858860186</v>
      </c>
      <c r="J92" s="171">
        <v>188.91543920220585</v>
      </c>
      <c r="K92" s="171">
        <v>9262.4761673907105</v>
      </c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17"/>
      <c r="AD92" s="13"/>
      <c r="AI92"/>
      <c r="AJ92"/>
      <c r="AL92" s="12"/>
      <c r="AM92" s="12"/>
      <c r="AN92" s="12" t="s">
        <v>58</v>
      </c>
      <c r="AO92" s="12">
        <v>9276.993825387628</v>
      </c>
      <c r="AP92" s="12">
        <v>112.89247697741257</v>
      </c>
      <c r="AQ92" s="12">
        <v>0.18062796316385438</v>
      </c>
      <c r="AR92" s="12">
        <v>357.69450154365308</v>
      </c>
      <c r="AS92" s="87">
        <v>9262.4761673907105</v>
      </c>
      <c r="AT92" s="87">
        <v>112.89214977817215</v>
      </c>
      <c r="AU92" s="87">
        <v>-8.000000000000034E-4</v>
      </c>
      <c r="AV92" s="87">
        <v>-2.5000000000005134E-4</v>
      </c>
      <c r="AW92" s="87">
        <v>8.0000038807827116E-4</v>
      </c>
      <c r="AX92" s="12">
        <v>48619.429159904539</v>
      </c>
      <c r="AY92" s="12">
        <v>47935.57556716261</v>
      </c>
      <c r="AZ92" s="12">
        <v>59472.138657398064</v>
      </c>
      <c r="BA92" s="12">
        <v>307041.87316539756</v>
      </c>
      <c r="BB92" s="12"/>
      <c r="BC92" s="117"/>
      <c r="BD92" s="12"/>
      <c r="BE92" s="1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</row>
    <row r="93" spans="1:96">
      <c r="A93" s="171" t="s">
        <v>58</v>
      </c>
      <c r="B93" s="171">
        <v>112.89247697741257</v>
      </c>
      <c r="C93" s="171">
        <v>9.0313981581923955E-2</v>
      </c>
      <c r="D93" s="171">
        <v>357.66627842440874</v>
      </c>
      <c r="E93" s="171" t="s">
        <v>69</v>
      </c>
      <c r="F93" s="171">
        <v>8.8891927139220811E-2</v>
      </c>
      <c r="G93" s="171">
        <v>3.6855417118875642E-3</v>
      </c>
      <c r="H93" s="171">
        <v>112.89243023464402</v>
      </c>
      <c r="I93" s="171">
        <v>196.20141051574109</v>
      </c>
      <c r="J93" s="171">
        <v>192.25245807725108</v>
      </c>
      <c r="K93" s="171">
        <v>9375.3685976253546</v>
      </c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17"/>
      <c r="AD93" s="13"/>
      <c r="AI93"/>
      <c r="AJ93"/>
      <c r="AL93" s="12"/>
      <c r="AM93" s="12"/>
      <c r="AN93" s="12" t="s">
        <v>58</v>
      </c>
      <c r="AO93" s="12">
        <v>9389.886302365041</v>
      </c>
      <c r="AP93" s="12">
        <v>112.89247697741257</v>
      </c>
      <c r="AQ93" s="12">
        <v>9.0313981581923955E-2</v>
      </c>
      <c r="AR93" s="12">
        <v>357.66627842440874</v>
      </c>
      <c r="AS93" s="87">
        <v>9375.3685976253546</v>
      </c>
      <c r="AT93" s="87">
        <v>112.89243023464402</v>
      </c>
      <c r="AU93" s="87">
        <v>-8.0000000000000329E-4</v>
      </c>
      <c r="AV93" s="87">
        <v>-2.5000000000005134E-4</v>
      </c>
      <c r="AW93" s="87">
        <v>8.0000009701982884E-4</v>
      </c>
      <c r="AX93" s="12">
        <v>48556.72839412227</v>
      </c>
      <c r="AY93" s="12">
        <v>47933.658889674909</v>
      </c>
      <c r="AZ93" s="12">
        <v>59299.022765148133</v>
      </c>
      <c r="BA93" s="12">
        <v>306594.28657729784</v>
      </c>
      <c r="BB93" s="12"/>
      <c r="BC93" s="117"/>
      <c r="BD93" s="12"/>
      <c r="BE93" s="12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</row>
    <row r="94" spans="1:96">
      <c r="A94" s="171" t="s">
        <v>58</v>
      </c>
      <c r="B94" s="171">
        <v>112.89247697741257</v>
      </c>
      <c r="C94" s="171">
        <v>-6.4683501610485195E-15</v>
      </c>
      <c r="D94" s="171">
        <v>357.63805530516436</v>
      </c>
      <c r="E94" s="171" t="s">
        <v>125</v>
      </c>
      <c r="F94" s="171">
        <v>0</v>
      </c>
      <c r="G94" s="171">
        <v>0</v>
      </c>
      <c r="H94" s="171">
        <v>112.89247697741258</v>
      </c>
      <c r="I94" s="171">
        <v>196.20141051574109</v>
      </c>
      <c r="J94" s="171">
        <v>195.58579141058442</v>
      </c>
      <c r="K94" s="171">
        <v>9488.2610746027676</v>
      </c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17"/>
      <c r="AD94" s="13"/>
      <c r="AI94"/>
      <c r="AJ94"/>
      <c r="AL94" s="12"/>
      <c r="AM94" s="12"/>
      <c r="AN94" s="12" t="s">
        <v>58</v>
      </c>
      <c r="AO94" s="12">
        <v>9502.7787793424541</v>
      </c>
      <c r="AP94" s="12">
        <v>112.89247697741257</v>
      </c>
      <c r="AQ94" s="12">
        <v>-6.4683501610485195E-15</v>
      </c>
      <c r="AR94" s="12">
        <v>357.63805530516436</v>
      </c>
      <c r="AS94" s="87">
        <v>9488.2610746027676</v>
      </c>
      <c r="AT94" s="87">
        <v>112.89247697741258</v>
      </c>
      <c r="AU94" s="87">
        <v>-8.0000000000000329E-4</v>
      </c>
      <c r="AV94" s="87">
        <v>-2.5000000000030309E-4</v>
      </c>
      <c r="AW94" s="87">
        <v>8.0000000000000329E-4</v>
      </c>
      <c r="AX94" s="12">
        <v>45000</v>
      </c>
      <c r="AY94" s="12">
        <v>45000</v>
      </c>
      <c r="AZ94" s="12">
        <v>0</v>
      </c>
      <c r="BA94" s="12">
        <v>0</v>
      </c>
      <c r="BB94" s="12"/>
      <c r="BC94" s="117"/>
      <c r="BD94" s="12"/>
      <c r="BE94" s="12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</row>
    <row r="95" spans="1:96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17"/>
      <c r="AD95" s="13"/>
      <c r="AI95"/>
      <c r="AJ95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17"/>
      <c r="BD95" s="12"/>
      <c r="BE95" s="12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</row>
    <row r="96" spans="1:96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17"/>
      <c r="AD96" s="13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17"/>
      <c r="BD96" s="12"/>
      <c r="BE96" s="12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</row>
    <row r="97" spans="1:9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17"/>
      <c r="AD97" s="13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17"/>
      <c r="BD97" s="12"/>
      <c r="BE97" s="12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</row>
    <row r="98" spans="1:9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17"/>
      <c r="AD98" s="13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17"/>
      <c r="BD98" s="12"/>
      <c r="BE98" s="12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</row>
    <row r="99" spans="1:95" ht="20" thickBot="1">
      <c r="A99" s="185"/>
      <c r="B99" s="185"/>
      <c r="C99" s="185"/>
      <c r="D99" s="185"/>
      <c r="E99" s="185"/>
      <c r="F99" s="185"/>
      <c r="G99" s="185"/>
      <c r="H99" s="185"/>
      <c r="I99" s="185"/>
      <c r="J99" s="185"/>
      <c r="K99" s="185"/>
      <c r="L99" s="185"/>
      <c r="M99" s="185"/>
      <c r="N99" s="185"/>
      <c r="O99" s="185"/>
      <c r="P99" s="185"/>
      <c r="Q99" s="185"/>
      <c r="R99" s="185"/>
      <c r="S99" s="185"/>
      <c r="T99" s="185"/>
      <c r="U99" s="185"/>
      <c r="V99" s="185"/>
      <c r="W99" s="185"/>
      <c r="X99" s="185"/>
      <c r="Y99" s="185"/>
      <c r="Z99" s="185"/>
      <c r="AA99" s="185"/>
      <c r="AB99" s="185"/>
      <c r="AC99" s="186"/>
      <c r="AD99" s="185"/>
      <c r="AE99" s="185"/>
      <c r="AF99" s="185"/>
      <c r="AG99" s="185"/>
      <c r="AH99" s="185"/>
      <c r="AI99" s="185"/>
      <c r="AJ99" s="185"/>
      <c r="AK99" s="185"/>
      <c r="AL99" s="185"/>
      <c r="AM99" s="185"/>
      <c r="AN99" s="185"/>
      <c r="AO99" s="185"/>
      <c r="AP99" s="185"/>
      <c r="AQ99" s="185"/>
      <c r="AR99" s="185"/>
      <c r="AS99" s="185"/>
      <c r="AT99" s="185"/>
      <c r="AU99" s="185"/>
      <c r="AV99" s="185"/>
      <c r="AW99" s="185"/>
      <c r="AX99" s="185"/>
      <c r="AY99" s="185"/>
      <c r="AZ99" s="185"/>
      <c r="BA99" s="185"/>
      <c r="BB99" s="185"/>
      <c r="BC99" s="186"/>
      <c r="BD99" s="12"/>
      <c r="BE99" s="12"/>
      <c r="BZ99"/>
      <c r="CA99"/>
      <c r="CB99" s="169"/>
      <c r="CC99" s="169"/>
      <c r="CD99" s="169"/>
      <c r="CE99" s="169"/>
      <c r="CF99" s="169"/>
      <c r="CG99" s="169"/>
      <c r="CH99" s="169"/>
      <c r="CI99" s="169"/>
      <c r="CJ99" s="169"/>
      <c r="CK99" s="169"/>
      <c r="CL99" s="169"/>
      <c r="CM99" s="169"/>
      <c r="CN99" s="169"/>
      <c r="CO99" s="169"/>
      <c r="CP99" s="169"/>
    </row>
    <row r="100" spans="1:95" ht="20" thickTop="1">
      <c r="A100" s="12"/>
      <c r="B100" s="12"/>
      <c r="C100" s="12"/>
      <c r="D100" s="12"/>
      <c r="E100" s="12"/>
      <c r="AI100"/>
      <c r="AJ100"/>
      <c r="BF100"/>
      <c r="BG100"/>
      <c r="BZ100"/>
      <c r="CA100" s="169"/>
      <c r="CB100" s="169"/>
      <c r="CC100" s="169"/>
      <c r="CD100" s="169"/>
      <c r="CE100" s="169"/>
      <c r="CF100" s="169"/>
      <c r="CG100" s="169"/>
      <c r="CH100" s="169"/>
      <c r="CI100" s="169"/>
      <c r="CJ100" s="169"/>
      <c r="CK100" s="169"/>
      <c r="CL100" s="169"/>
      <c r="CM100" s="169"/>
      <c r="CN100" s="169"/>
      <c r="CO100" s="169"/>
      <c r="CP100" s="169"/>
    </row>
    <row r="101" spans="1:95" ht="20" thickBot="1">
      <c r="AI101"/>
      <c r="AJ101"/>
      <c r="BZ101" s="169"/>
      <c r="CA101" s="169"/>
      <c r="CB101" s="169"/>
      <c r="CC101" s="169"/>
      <c r="CD101" s="169"/>
      <c r="CE101" s="169"/>
      <c r="CF101" s="169"/>
      <c r="CG101" s="169"/>
      <c r="CH101" s="169"/>
      <c r="CI101" s="169"/>
      <c r="CJ101" s="169"/>
      <c r="CK101" s="169"/>
      <c r="CL101" s="169"/>
      <c r="CM101" s="169"/>
      <c r="CN101" s="169"/>
      <c r="CO101" s="169"/>
      <c r="CP101" s="169"/>
    </row>
    <row r="102" spans="1:95">
      <c r="B102" s="204" t="s">
        <v>209</v>
      </c>
      <c r="C102" s="205"/>
      <c r="D102" s="205"/>
      <c r="E102" s="206"/>
      <c r="AI102"/>
      <c r="AJ102"/>
      <c r="BZ102" s="169"/>
      <c r="CA102" s="169"/>
      <c r="CB102" s="169"/>
      <c r="CC102" s="169"/>
      <c r="CD102" s="169"/>
      <c r="CE102" s="169"/>
      <c r="CF102" s="169"/>
      <c r="CG102" s="169"/>
      <c r="CH102" s="169"/>
      <c r="CI102" s="169"/>
      <c r="CJ102" s="169"/>
      <c r="CK102" s="169"/>
      <c r="CL102" s="169"/>
      <c r="CM102" s="169"/>
      <c r="CN102" s="169"/>
      <c r="CO102" s="169"/>
      <c r="CP102" s="169"/>
    </row>
    <row r="103" spans="1:95" ht="18.75" customHeight="1">
      <c r="B103" s="207"/>
      <c r="C103" s="208"/>
      <c r="D103" s="208"/>
      <c r="E103" s="209"/>
      <c r="AI103"/>
      <c r="AJ103"/>
      <c r="BZ103" s="169"/>
      <c r="CA103" s="169"/>
      <c r="CB103" s="169"/>
      <c r="CC103" s="169"/>
      <c r="CD103" s="169"/>
      <c r="CE103" s="169"/>
      <c r="CF103" s="169"/>
      <c r="CG103" s="169"/>
      <c r="CH103" s="169"/>
      <c r="CI103" s="169"/>
      <c r="CJ103" s="169"/>
      <c r="CK103" s="169"/>
      <c r="CL103" s="169"/>
      <c r="CM103" s="169"/>
      <c r="CN103" s="169"/>
      <c r="CO103" s="169"/>
      <c r="CP103" s="169"/>
    </row>
    <row r="104" spans="1:95" ht="19.5" customHeight="1" thickBot="1">
      <c r="B104" s="210"/>
      <c r="C104" s="211"/>
      <c r="D104" s="211"/>
      <c r="E104" s="2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/>
      <c r="AJ104"/>
      <c r="AL104" s="12"/>
      <c r="BZ104" s="169"/>
      <c r="CA104" s="169"/>
      <c r="CB104" s="169"/>
      <c r="CC104" s="169"/>
      <c r="CD104" s="169"/>
      <c r="CE104" s="169"/>
      <c r="CF104" s="169"/>
      <c r="CG104" s="169"/>
      <c r="CH104" s="169"/>
      <c r="CI104" s="169"/>
      <c r="CJ104" s="169"/>
      <c r="CK104" s="169"/>
      <c r="CL104" s="169"/>
      <c r="CM104" s="169"/>
      <c r="CN104" s="169"/>
      <c r="CO104" s="169"/>
      <c r="CP104" s="169"/>
    </row>
    <row r="105" spans="1:95" ht="20" thickBot="1">
      <c r="A105" s="12"/>
      <c r="G105" s="217" t="s">
        <v>237</v>
      </c>
      <c r="H105" s="218"/>
      <c r="I105" s="219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BZ105" s="169"/>
      <c r="CA105" s="169"/>
      <c r="CB105" s="169"/>
      <c r="CC105" s="169"/>
      <c r="CD105" s="169"/>
      <c r="CE105" s="169"/>
      <c r="CF105" s="169"/>
      <c r="CG105" s="169"/>
      <c r="CH105" s="169"/>
      <c r="CI105" s="169"/>
      <c r="CJ105" s="169"/>
      <c r="CK105" s="169"/>
      <c r="CL105" s="169"/>
      <c r="CM105" s="169"/>
      <c r="CN105" s="169"/>
      <c r="CO105" s="169"/>
      <c r="CP105" s="169"/>
    </row>
    <row r="106" spans="1:95" ht="20" thickTop="1">
      <c r="A106" s="12"/>
      <c r="F106" s="12"/>
      <c r="G106" s="148" t="s">
        <v>238</v>
      </c>
      <c r="H106" s="149">
        <f>B11</f>
        <v>9500</v>
      </c>
      <c r="I106" s="150" t="s">
        <v>5</v>
      </c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BZ106" s="169"/>
      <c r="CA106" s="169"/>
      <c r="CB106" s="169"/>
      <c r="CC106" s="169"/>
      <c r="CD106" s="169"/>
      <c r="CE106" s="169"/>
      <c r="CF106" s="169"/>
      <c r="CG106" s="169"/>
      <c r="CH106" s="169"/>
      <c r="CI106" s="169"/>
      <c r="CJ106" s="169"/>
      <c r="CK106" s="169"/>
      <c r="CL106" s="169"/>
      <c r="CM106" s="169"/>
      <c r="CN106" s="169"/>
      <c r="CO106" s="169"/>
      <c r="CP106" s="169"/>
    </row>
    <row r="107" spans="1:95">
      <c r="A107" s="12"/>
      <c r="F107" s="12"/>
      <c r="G107" s="165" t="s">
        <v>239</v>
      </c>
      <c r="H107" s="167">
        <f>MAX(A216:A216)</f>
        <v>0</v>
      </c>
      <c r="I107" s="166" t="s">
        <v>5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S107" s="12"/>
      <c r="AT107" s="12"/>
      <c r="AU107" s="12"/>
      <c r="BZ107" s="169"/>
      <c r="CA107" s="169"/>
      <c r="CB107" s="169"/>
      <c r="CC107" s="169"/>
      <c r="CD107" s="169"/>
      <c r="CE107" s="169"/>
      <c r="CF107" s="169"/>
      <c r="CG107" s="169"/>
      <c r="CH107" s="169"/>
      <c r="CI107" s="169"/>
      <c r="CJ107" s="169"/>
      <c r="CK107" s="169"/>
      <c r="CL107" s="169"/>
      <c r="CM107" s="169"/>
      <c r="CN107" s="169"/>
      <c r="CO107" s="169"/>
      <c r="CP107" s="169"/>
    </row>
    <row r="108" spans="1:95">
      <c r="A108" s="12"/>
      <c r="B108" s="12"/>
      <c r="C108" s="12"/>
      <c r="D108" s="12"/>
      <c r="E108" s="12"/>
      <c r="F108" s="12"/>
      <c r="G108" s="151" t="s">
        <v>245</v>
      </c>
      <c r="H108" s="156">
        <f>N15</f>
        <v>9502.7787793424523</v>
      </c>
      <c r="I108" s="152" t="s">
        <v>5</v>
      </c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S108" s="12"/>
      <c r="AT108" s="12"/>
      <c r="AU108" s="12"/>
      <c r="BZ108" s="169"/>
      <c r="CA108" s="169"/>
      <c r="CB108" s="169"/>
      <c r="CC108" s="169"/>
      <c r="CD108" s="169"/>
      <c r="CE108" s="169"/>
      <c r="CF108" s="169"/>
      <c r="CG108" s="169"/>
      <c r="CH108" s="169"/>
      <c r="CI108" s="169"/>
      <c r="CJ108" s="169"/>
      <c r="CK108" s="169"/>
      <c r="CL108" s="169"/>
      <c r="CM108" s="169"/>
      <c r="CN108" s="169"/>
      <c r="CO108" s="169"/>
      <c r="CP108" s="169"/>
    </row>
    <row r="109" spans="1:95" ht="20" thickBot="1">
      <c r="A109" s="12"/>
      <c r="B109" s="12"/>
      <c r="C109" s="12"/>
      <c r="D109" s="12"/>
      <c r="E109" s="12"/>
      <c r="F109" s="12"/>
      <c r="G109" s="153" t="s">
        <v>240</v>
      </c>
      <c r="H109" s="154">
        <f>AY15</f>
        <v>258192.3771929511</v>
      </c>
      <c r="I109" s="155" t="s">
        <v>194</v>
      </c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S109" s="12"/>
      <c r="AT109" s="12"/>
      <c r="AU109" s="12"/>
      <c r="BZ109" s="169"/>
      <c r="CA109" s="169"/>
      <c r="CB109" s="169"/>
      <c r="CC109" s="169"/>
      <c r="CD109" s="169"/>
      <c r="CE109" s="169"/>
      <c r="CF109" s="169"/>
      <c r="CG109" s="169"/>
      <c r="CH109" s="169"/>
      <c r="CI109" s="169"/>
      <c r="CJ109" s="169"/>
      <c r="CK109" s="169"/>
      <c r="CL109" s="169"/>
      <c r="CM109" s="169"/>
      <c r="CN109" s="169"/>
      <c r="CO109" s="169"/>
      <c r="CP109" s="169"/>
    </row>
    <row r="110" spans="1:95" ht="20" thickBo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S110" s="12"/>
      <c r="AT110" s="12"/>
      <c r="AU110" s="12"/>
      <c r="BZ110" s="169"/>
      <c r="CA110" s="169"/>
      <c r="CB110" s="169"/>
      <c r="CC110" s="169"/>
      <c r="CD110" s="169"/>
      <c r="CE110" s="169"/>
      <c r="CF110" s="169"/>
      <c r="CG110" s="169"/>
      <c r="CH110" s="169"/>
      <c r="CI110" s="169"/>
      <c r="CJ110" s="169"/>
      <c r="CK110" s="169"/>
      <c r="CL110" s="169"/>
      <c r="CM110" s="169"/>
      <c r="CN110" s="169"/>
      <c r="CO110" s="169"/>
      <c r="CP110" s="169"/>
    </row>
    <row r="111" spans="1:95" ht="20" thickBot="1">
      <c r="A111" s="12"/>
      <c r="B111" s="220" t="s">
        <v>234</v>
      </c>
      <c r="C111" s="221"/>
      <c r="D111" s="221"/>
      <c r="E111" s="221"/>
      <c r="F111" s="221"/>
      <c r="G111" s="221"/>
      <c r="H111" s="22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S111" s="12"/>
      <c r="AT111" s="12"/>
      <c r="AU111" s="12"/>
      <c r="BZ111" s="169"/>
      <c r="CA111" s="169"/>
      <c r="CB111" s="169"/>
      <c r="CC111" s="169"/>
      <c r="CD111" s="169"/>
      <c r="CE111" s="169"/>
      <c r="CF111" s="169"/>
      <c r="CG111" s="169"/>
      <c r="CH111" s="169"/>
      <c r="CI111" s="169"/>
      <c r="CJ111" s="169"/>
      <c r="CK111" s="169"/>
      <c r="CL111" s="169"/>
      <c r="CM111" s="169"/>
      <c r="CN111" s="169"/>
      <c r="CO111" s="169"/>
      <c r="CP111" s="169"/>
    </row>
    <row r="112" spans="1:95" ht="20" thickTop="1">
      <c r="A112" s="12"/>
      <c r="B112" s="121" t="s">
        <v>215</v>
      </c>
      <c r="C112" s="122" t="s">
        <v>221</v>
      </c>
      <c r="D112" s="122" t="s">
        <v>229</v>
      </c>
      <c r="E112" s="122" t="s">
        <v>230</v>
      </c>
      <c r="F112" s="122" t="s">
        <v>231</v>
      </c>
      <c r="G112" s="122" t="s">
        <v>228</v>
      </c>
      <c r="H112" s="129" t="s">
        <v>241</v>
      </c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BZ112" s="169"/>
      <c r="CA112" s="169"/>
      <c r="CB112" s="169"/>
      <c r="CC112" s="169"/>
      <c r="CD112" s="169"/>
      <c r="CE112" s="169"/>
      <c r="CF112" s="169"/>
      <c r="CG112" s="169"/>
      <c r="CH112" s="169"/>
      <c r="CI112" s="169"/>
      <c r="CJ112" s="169"/>
      <c r="CK112" s="169"/>
      <c r="CL112" s="169"/>
      <c r="CM112" s="169"/>
      <c r="CN112" s="169"/>
      <c r="CO112" s="169"/>
      <c r="CP112" s="169"/>
    </row>
    <row r="113" spans="1:94">
      <c r="A113" s="12">
        <v>1</v>
      </c>
      <c r="B113" s="120" t="s">
        <v>225</v>
      </c>
      <c r="C113" s="126">
        <v>23</v>
      </c>
      <c r="D113" s="124">
        <v>55000</v>
      </c>
      <c r="E113" s="124">
        <v>3290</v>
      </c>
      <c r="F113" s="124">
        <v>4360</v>
      </c>
      <c r="G113" s="124">
        <v>300000</v>
      </c>
      <c r="H113" s="157">
        <v>5.1050000000000004</v>
      </c>
      <c r="J113" s="12"/>
      <c r="AL113" s="12"/>
      <c r="BZ113" s="169"/>
      <c r="CA113" s="169"/>
      <c r="CB113" s="169"/>
      <c r="CC113" s="169"/>
      <c r="CD113" s="169"/>
      <c r="CE113" s="169"/>
      <c r="CF113" s="169"/>
      <c r="CG113" s="169"/>
      <c r="CH113" s="169"/>
      <c r="CI113" s="169"/>
      <c r="CJ113" s="169"/>
      <c r="CK113" s="169"/>
      <c r="CL113" s="169"/>
      <c r="CM113" s="169"/>
      <c r="CN113" s="169"/>
      <c r="CO113" s="169"/>
      <c r="CP113" s="169"/>
    </row>
    <row r="114" spans="1:94">
      <c r="A114" s="12">
        <v>2</v>
      </c>
      <c r="B114" s="120" t="s">
        <v>226</v>
      </c>
      <c r="C114" s="126">
        <v>26</v>
      </c>
      <c r="D114" s="124">
        <v>55000</v>
      </c>
      <c r="E114" s="124">
        <v>4060</v>
      </c>
      <c r="F114" s="124">
        <v>4980</v>
      </c>
      <c r="G114" s="124">
        <v>345000</v>
      </c>
      <c r="H114" s="157">
        <v>5.75</v>
      </c>
      <c r="J114" s="12"/>
      <c r="AL114" s="12"/>
      <c r="BZ114" s="169"/>
      <c r="CA114" s="169"/>
      <c r="CB114" s="169"/>
      <c r="CC114" s="169"/>
      <c r="CD114" s="169"/>
      <c r="CE114" s="169"/>
      <c r="CF114" s="169"/>
      <c r="CG114" s="169"/>
      <c r="CH114" s="169"/>
      <c r="CI114" s="169"/>
      <c r="CJ114" s="169"/>
      <c r="CK114" s="169"/>
      <c r="CL114" s="169"/>
      <c r="CM114" s="169"/>
      <c r="CN114" s="169"/>
      <c r="CO114" s="169"/>
      <c r="CP114" s="169"/>
    </row>
    <row r="115" spans="1:94">
      <c r="A115" s="12">
        <v>3</v>
      </c>
      <c r="B115" s="120" t="s">
        <v>216</v>
      </c>
      <c r="C115" s="126">
        <v>26.4</v>
      </c>
      <c r="D115" s="124">
        <v>55000</v>
      </c>
      <c r="E115" s="124">
        <v>2890</v>
      </c>
      <c r="F115" s="124">
        <v>4140</v>
      </c>
      <c r="G115" s="124">
        <v>376000</v>
      </c>
      <c r="H115" s="157">
        <v>7.5190000000000001</v>
      </c>
      <c r="J115" s="12"/>
      <c r="AL115" s="12"/>
      <c r="BZ115" s="169"/>
      <c r="CA115" s="169"/>
      <c r="CB115" s="169"/>
      <c r="CC115" s="169"/>
      <c r="CD115" s="169"/>
      <c r="CE115" s="169"/>
      <c r="CF115" s="169"/>
      <c r="CG115" s="169"/>
      <c r="CH115" s="169"/>
      <c r="CI115" s="169"/>
      <c r="CJ115" s="169"/>
      <c r="CK115" s="169"/>
      <c r="CL115" s="169"/>
      <c r="CM115" s="169"/>
      <c r="CN115" s="169"/>
      <c r="CO115" s="169"/>
      <c r="CP115" s="169"/>
    </row>
    <row r="116" spans="1:94">
      <c r="A116" s="12">
        <v>4</v>
      </c>
      <c r="B116" s="120" t="s">
        <v>210</v>
      </c>
      <c r="C116" s="126">
        <v>44</v>
      </c>
      <c r="D116" s="124">
        <v>80000</v>
      </c>
      <c r="E116" s="124">
        <v>6950</v>
      </c>
      <c r="F116" s="124">
        <v>8120</v>
      </c>
      <c r="G116" s="124">
        <v>1066000</v>
      </c>
      <c r="H116" s="157">
        <v>12.763</v>
      </c>
      <c r="J116" s="12"/>
      <c r="AL116" s="12"/>
      <c r="BZ116" s="169"/>
      <c r="CA116" s="169"/>
      <c r="CB116" s="169"/>
      <c r="CC116" s="169"/>
      <c r="CD116" s="169"/>
      <c r="CE116" s="169"/>
      <c r="CF116" s="169"/>
      <c r="CG116" s="169"/>
      <c r="CH116" s="169"/>
      <c r="CI116" s="169"/>
      <c r="CJ116" s="169"/>
      <c r="CK116" s="169"/>
      <c r="CL116" s="169"/>
      <c r="CM116" s="169"/>
      <c r="CN116" s="169"/>
      <c r="CO116" s="169"/>
      <c r="CP116" s="169"/>
    </row>
    <row r="117" spans="1:94">
      <c r="A117" s="12">
        <v>5</v>
      </c>
      <c r="B117" s="120" t="s">
        <v>222</v>
      </c>
      <c r="C117" s="126">
        <v>26</v>
      </c>
      <c r="D117" s="124">
        <v>80000</v>
      </c>
      <c r="E117" s="124">
        <v>5320</v>
      </c>
      <c r="F117" s="124">
        <v>7240</v>
      </c>
      <c r="G117" s="124">
        <v>460000</v>
      </c>
      <c r="H117" s="157">
        <v>5.9980000000000002</v>
      </c>
      <c r="J117" s="12"/>
      <c r="BZ117" s="169"/>
      <c r="CA117" s="169"/>
      <c r="CB117" s="169"/>
      <c r="CC117" s="169"/>
      <c r="CD117" s="169"/>
      <c r="CE117" s="169"/>
      <c r="CF117" s="169"/>
      <c r="CG117" s="169"/>
      <c r="CH117" s="169"/>
      <c r="CI117" s="169"/>
      <c r="CJ117" s="169"/>
      <c r="CK117" s="169"/>
      <c r="CL117" s="169"/>
      <c r="CM117" s="169"/>
      <c r="CN117" s="169"/>
      <c r="CO117" s="169"/>
      <c r="CP117" s="169"/>
    </row>
    <row r="118" spans="1:94">
      <c r="A118" s="12">
        <v>6</v>
      </c>
      <c r="B118" s="120" t="s">
        <v>223</v>
      </c>
      <c r="C118" s="126">
        <v>29</v>
      </c>
      <c r="D118" s="124">
        <v>80000</v>
      </c>
      <c r="E118" s="124">
        <v>6370</v>
      </c>
      <c r="F118" s="124">
        <v>8160</v>
      </c>
      <c r="G118" s="124">
        <v>520000</v>
      </c>
      <c r="H118" s="157">
        <v>6.899</v>
      </c>
      <c r="J118" s="12"/>
      <c r="BZ118" s="169"/>
      <c r="CA118" s="169"/>
      <c r="CB118" s="169"/>
      <c r="CC118" s="169"/>
      <c r="CD118" s="169"/>
      <c r="CE118" s="169"/>
      <c r="CF118" s="169"/>
      <c r="CG118" s="169"/>
      <c r="CH118" s="169"/>
      <c r="CI118" s="169"/>
      <c r="CJ118" s="169"/>
      <c r="CK118" s="169"/>
      <c r="CL118" s="169"/>
      <c r="CM118" s="169"/>
      <c r="CN118" s="169"/>
      <c r="CO118" s="169"/>
      <c r="CP118" s="169"/>
    </row>
    <row r="119" spans="1:94">
      <c r="A119" s="12">
        <v>7</v>
      </c>
      <c r="B119" s="120" t="s">
        <v>224</v>
      </c>
      <c r="C119" s="126">
        <v>35</v>
      </c>
      <c r="D119" s="124">
        <v>80000</v>
      </c>
      <c r="E119" s="124">
        <v>8420</v>
      </c>
      <c r="F119" s="124">
        <v>9960</v>
      </c>
      <c r="G119" s="124">
        <v>635000</v>
      </c>
      <c r="H119" s="157">
        <v>8.6219999999999999</v>
      </c>
      <c r="J119" s="12"/>
      <c r="BZ119" s="169"/>
      <c r="CA119" s="169"/>
      <c r="CB119" s="169"/>
      <c r="CC119" s="169"/>
      <c r="CD119" s="169"/>
      <c r="CE119" s="169"/>
      <c r="CF119" s="169"/>
      <c r="CG119" s="169"/>
      <c r="CH119" s="169"/>
      <c r="CI119" s="169"/>
      <c r="CJ119" s="169"/>
      <c r="CK119" s="169"/>
      <c r="CL119" s="169"/>
      <c r="CM119" s="169"/>
      <c r="CN119" s="169"/>
      <c r="CO119" s="169"/>
      <c r="CP119" s="169"/>
    </row>
    <row r="120" spans="1:94">
      <c r="A120" s="12">
        <v>8</v>
      </c>
      <c r="B120" s="123" t="s">
        <v>211</v>
      </c>
      <c r="C120" s="127">
        <v>33.700000000000003</v>
      </c>
      <c r="D120" s="125">
        <v>110000</v>
      </c>
      <c r="E120" s="125">
        <v>7870</v>
      </c>
      <c r="F120" s="125">
        <v>10860</v>
      </c>
      <c r="G120" s="125">
        <v>901000</v>
      </c>
      <c r="H120" s="158">
        <v>9.7200000000000006</v>
      </c>
      <c r="J120" s="12"/>
      <c r="BZ120" s="169"/>
      <c r="CA120" s="169"/>
    </row>
    <row r="121" spans="1:94" ht="20" thickBot="1">
      <c r="A121" s="12">
        <v>9</v>
      </c>
      <c r="B121" s="159" t="s">
        <v>227</v>
      </c>
      <c r="C121" s="160">
        <v>35</v>
      </c>
      <c r="D121" s="161">
        <v>125000</v>
      </c>
      <c r="E121" s="161">
        <v>9000</v>
      </c>
      <c r="F121" s="161">
        <v>12000</v>
      </c>
      <c r="G121" s="161">
        <v>120000</v>
      </c>
      <c r="H121" s="162">
        <v>13</v>
      </c>
      <c r="J121" s="12"/>
      <c r="BZ121" s="169"/>
    </row>
    <row r="122" spans="1:94" ht="20" thickBo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</row>
    <row r="123" spans="1:94" ht="20" thickBot="1">
      <c r="A123" s="12"/>
      <c r="B123" s="223" t="s">
        <v>235</v>
      </c>
      <c r="C123" s="224"/>
      <c r="D123" s="225"/>
      <c r="E123" s="12"/>
      <c r="F123" s="215" t="s">
        <v>244</v>
      </c>
      <c r="G123" s="216"/>
      <c r="H123" s="12"/>
      <c r="I123" s="12"/>
      <c r="J123" s="12"/>
    </row>
    <row r="124" spans="1:94" ht="20" thickTop="1">
      <c r="A124" s="12"/>
      <c r="B124" s="139" t="s">
        <v>232</v>
      </c>
      <c r="C124" s="140" t="s">
        <v>230</v>
      </c>
      <c r="D124" s="141" t="s">
        <v>231</v>
      </c>
      <c r="E124" s="12"/>
      <c r="F124" s="130" t="s">
        <v>219</v>
      </c>
      <c r="G124" s="131">
        <v>1.2</v>
      </c>
      <c r="H124" s="12"/>
      <c r="I124" s="12"/>
      <c r="J124" s="12"/>
    </row>
    <row r="125" spans="1:94">
      <c r="A125" s="12"/>
      <c r="B125" s="136">
        <v>0</v>
      </c>
      <c r="C125" s="137">
        <v>0</v>
      </c>
      <c r="D125" s="138">
        <v>7000</v>
      </c>
      <c r="E125" s="12"/>
      <c r="F125" s="130" t="s">
        <v>220</v>
      </c>
      <c r="G125" s="132">
        <v>1.1000000000000001</v>
      </c>
      <c r="H125" s="12"/>
      <c r="I125" s="12"/>
      <c r="J125" s="12"/>
    </row>
    <row r="126" spans="1:94">
      <c r="A126" s="145" t="s">
        <v>233</v>
      </c>
      <c r="B126" s="142">
        <f>H106</f>
        <v>9500</v>
      </c>
      <c r="C126" s="143">
        <v>5500</v>
      </c>
      <c r="D126" s="144">
        <v>3750</v>
      </c>
      <c r="E126" s="12"/>
      <c r="F126" s="133" t="s">
        <v>218</v>
      </c>
      <c r="G126" s="131">
        <v>1.5</v>
      </c>
      <c r="H126" s="12"/>
      <c r="I126" s="12"/>
      <c r="J126" s="12"/>
    </row>
    <row r="127" spans="1:94" ht="20" thickBot="1">
      <c r="A127" s="145" t="s">
        <v>253</v>
      </c>
      <c r="B127" s="175">
        <f>(B126-B125)/(C126-C125)</f>
        <v>1.7272727272727273</v>
      </c>
      <c r="C127" s="176" t="s">
        <v>254</v>
      </c>
      <c r="D127" s="177">
        <f>B127*(-C125)</f>
        <v>0</v>
      </c>
      <c r="E127" s="12"/>
      <c r="F127" s="134" t="s">
        <v>217</v>
      </c>
      <c r="G127" s="135">
        <v>1.5</v>
      </c>
      <c r="H127" s="12"/>
      <c r="I127" s="12"/>
      <c r="J127" s="12"/>
    </row>
    <row r="128" spans="1:94" ht="20" thickBot="1">
      <c r="A128" s="145" t="s">
        <v>252</v>
      </c>
      <c r="B128" s="146">
        <f>(B125-B126)/(D125-D126)</f>
        <v>-2.9230769230769229</v>
      </c>
      <c r="C128" s="170" t="s">
        <v>255</v>
      </c>
      <c r="D128" s="147">
        <f>B128*(-D125)</f>
        <v>20461.538461538461</v>
      </c>
      <c r="E128" s="12"/>
      <c r="F128" s="12"/>
      <c r="G128" s="12"/>
      <c r="H128" s="12"/>
      <c r="I128" s="12"/>
      <c r="J128" s="12"/>
    </row>
    <row r="129" spans="1:57" ht="20" thickBot="1">
      <c r="A129" s="12"/>
      <c r="B129" s="12"/>
      <c r="C129" s="12"/>
      <c r="D129" s="12"/>
      <c r="E129" s="12"/>
      <c r="F129" s="213" t="s">
        <v>242</v>
      </c>
      <c r="G129" s="214"/>
      <c r="H129" s="12"/>
      <c r="I129" s="12"/>
      <c r="J129" s="12"/>
    </row>
    <row r="130" spans="1:57" ht="21" thickTop="1" thickBot="1">
      <c r="A130" s="12"/>
      <c r="B130" s="12"/>
      <c r="C130" s="12"/>
      <c r="D130" s="12"/>
      <c r="E130" s="12"/>
      <c r="F130" s="163">
        <v>12</v>
      </c>
      <c r="G130" s="164" t="s">
        <v>243</v>
      </c>
      <c r="H130" s="12"/>
      <c r="I130" s="12"/>
      <c r="J130" s="12"/>
    </row>
    <row r="131" spans="1:57">
      <c r="A131" s="12"/>
      <c r="B131" s="12"/>
      <c r="C131" s="12"/>
      <c r="D131" s="12"/>
      <c r="E131" s="12"/>
      <c r="F131" s="12"/>
      <c r="G131" s="12"/>
      <c r="H131" s="12"/>
      <c r="I131" s="12"/>
      <c r="J131" s="12"/>
    </row>
    <row r="132" spans="1:57" ht="20" thickBo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</row>
    <row r="133" spans="1:57" ht="20" thickBot="1">
      <c r="A133" s="195" t="s">
        <v>258</v>
      </c>
      <c r="B133" s="195" t="s">
        <v>257</v>
      </c>
      <c r="C133" s="200" t="s">
        <v>251</v>
      </c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3"/>
      <c r="O133" s="202" t="s">
        <v>250</v>
      </c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199" t="s">
        <v>275</v>
      </c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1"/>
      <c r="AL133" s="199" t="s">
        <v>256</v>
      </c>
      <c r="AM133" s="200"/>
      <c r="AN133" s="200"/>
      <c r="AO133" s="200"/>
      <c r="AP133" s="200"/>
      <c r="AQ133" s="201"/>
    </row>
    <row r="134" spans="1:57" ht="20" thickBot="1">
      <c r="A134" s="183" t="str">
        <f t="shared" ref="A134:A165" si="0">O134</f>
        <v>Z (ft)</v>
      </c>
      <c r="B134" s="180" t="str">
        <f>AX14</f>
        <v>F1 (lbf)</v>
      </c>
      <c r="C134" s="174" t="str">
        <f>K14</f>
        <v>Z (ft)</v>
      </c>
      <c r="D134" s="174" t="s">
        <v>246</v>
      </c>
      <c r="E134" s="174" t="s">
        <v>260</v>
      </c>
      <c r="F134" s="174" t="s">
        <v>261</v>
      </c>
      <c r="G134" s="174" t="s">
        <v>262</v>
      </c>
      <c r="H134" s="174" t="s">
        <v>263</v>
      </c>
      <c r="I134" s="174" t="s">
        <v>264</v>
      </c>
      <c r="J134" s="174" t="s">
        <v>265</v>
      </c>
      <c r="K134" s="174" t="s">
        <v>266</v>
      </c>
      <c r="L134" s="174" t="s">
        <v>267</v>
      </c>
      <c r="M134" s="174" t="s">
        <v>268</v>
      </c>
      <c r="N134" s="182" t="s">
        <v>248</v>
      </c>
      <c r="O134" s="183" t="str">
        <f t="shared" ref="O134:O165" si="1">C134</f>
        <v>Z (ft)</v>
      </c>
      <c r="P134" s="178" t="s">
        <v>247</v>
      </c>
      <c r="Q134" s="179" t="s">
        <v>260</v>
      </c>
      <c r="R134" s="179" t="s">
        <v>261</v>
      </c>
      <c r="S134" s="179" t="s">
        <v>262</v>
      </c>
      <c r="T134" s="179" t="s">
        <v>263</v>
      </c>
      <c r="U134" s="179" t="s">
        <v>264</v>
      </c>
      <c r="V134" s="179" t="s">
        <v>265</v>
      </c>
      <c r="W134" s="179" t="s">
        <v>266</v>
      </c>
      <c r="X134" s="179" t="s">
        <v>267</v>
      </c>
      <c r="Y134" s="179" t="s">
        <v>268</v>
      </c>
      <c r="Z134" s="196" t="s">
        <v>249</v>
      </c>
      <c r="AA134" s="191" t="str">
        <f t="shared" ref="AA134:AA165" si="2">O134</f>
        <v>Z (ft)</v>
      </c>
      <c r="AB134" s="197" t="s">
        <v>259</v>
      </c>
      <c r="AC134" s="198" t="s">
        <v>260</v>
      </c>
      <c r="AD134" s="198" t="s">
        <v>261</v>
      </c>
      <c r="AE134" s="198" t="s">
        <v>262</v>
      </c>
      <c r="AF134" s="198" t="s">
        <v>263</v>
      </c>
      <c r="AG134" s="198" t="s">
        <v>264</v>
      </c>
      <c r="AH134" s="198" t="s">
        <v>265</v>
      </c>
      <c r="AI134" s="198" t="s">
        <v>266</v>
      </c>
      <c r="AJ134" s="198" t="s">
        <v>267</v>
      </c>
      <c r="AK134" s="198" t="s">
        <v>268</v>
      </c>
      <c r="AL134" s="198" t="s">
        <v>274</v>
      </c>
      <c r="AM134" s="198" t="s">
        <v>271</v>
      </c>
      <c r="AN134" s="198" t="s">
        <v>272</v>
      </c>
      <c r="AO134" s="198" t="s">
        <v>273</v>
      </c>
      <c r="AP134" s="197" t="s">
        <v>269</v>
      </c>
      <c r="AQ134" s="197" t="s">
        <v>270</v>
      </c>
      <c r="BE134" s="12"/>
    </row>
    <row r="135" spans="1:57" ht="20" thickTop="1">
      <c r="A135" s="184">
        <f t="shared" si="0"/>
        <v>0</v>
      </c>
      <c r="B135" s="188" t="s">
        <v>198</v>
      </c>
      <c r="C135" s="181">
        <v>0</v>
      </c>
      <c r="D135" s="168">
        <f t="shared" ref="D135:D166" si="3">(C135-$D$128)/$B$128</f>
        <v>7000</v>
      </c>
      <c r="E135" s="168">
        <f t="shared" ref="E135:E166" si="4">$F$113/$G$125</f>
        <v>3963.6363636363635</v>
      </c>
      <c r="F135" s="168">
        <f t="shared" ref="F135:F166" si="5">$F$114/$G$125</f>
        <v>4527.272727272727</v>
      </c>
      <c r="G135" s="168">
        <f t="shared" ref="G135:G166" si="6">$F$115/$G$125</f>
        <v>3763.6363636363635</v>
      </c>
      <c r="H135" s="168">
        <f t="shared" ref="H135:H166" si="7">$F$116/$G$125</f>
        <v>7381.8181818181811</v>
      </c>
      <c r="I135" s="168">
        <f t="shared" ref="I135:I166" si="8">$F$117/$G$125</f>
        <v>6581.8181818181811</v>
      </c>
      <c r="J135" s="168">
        <f t="shared" ref="J135:J166" si="9">$F$118/$G$125</f>
        <v>7418.181818181818</v>
      </c>
      <c r="K135" s="168">
        <f t="shared" ref="K135:K166" si="10">$F$119/$G$125</f>
        <v>9054.545454545454</v>
      </c>
      <c r="L135" s="168">
        <f t="shared" ref="L135:L166" si="11">$F$120/$G$125</f>
        <v>9872.7272727272721</v>
      </c>
      <c r="M135" s="168">
        <f t="shared" ref="M135:M166" si="12">$F$121/$G$125</f>
        <v>10909.090909090908</v>
      </c>
      <c r="N135" s="168">
        <f t="array" ref="N135">MIN(IF(E135:M135&gt;D135,E135:M135))</f>
        <v>7381.8181818181811</v>
      </c>
      <c r="O135" s="184">
        <f t="shared" si="1"/>
        <v>0</v>
      </c>
      <c r="P135" s="168">
        <f t="shared" ref="P135:P166" si="13">(1/$B$127)*O135</f>
        <v>0</v>
      </c>
      <c r="Q135" s="168">
        <f t="shared" ref="Q135:Q166" si="14">$E$113/$G$124</f>
        <v>2741.666666666667</v>
      </c>
      <c r="R135" s="168">
        <f t="shared" ref="R135:R166" si="15">$E$114/$G$124</f>
        <v>3383.3333333333335</v>
      </c>
      <c r="S135" s="168">
        <f t="shared" ref="S135:S166" si="16">$E$115/$G$124</f>
        <v>2408.3333333333335</v>
      </c>
      <c r="T135" s="168">
        <f t="shared" ref="T135:T166" si="17">$E$116/$G$124</f>
        <v>5791.666666666667</v>
      </c>
      <c r="U135" s="168">
        <f t="shared" ref="U135:U166" si="18">$E$117/$G$124</f>
        <v>4433.3333333333339</v>
      </c>
      <c r="V135" s="168">
        <f t="shared" ref="V135:V166" si="19">$E$118/$G$124</f>
        <v>5308.3333333333339</v>
      </c>
      <c r="W135" s="168">
        <f t="shared" ref="W135:W166" si="20">$E$119/$G$124</f>
        <v>7016.666666666667</v>
      </c>
      <c r="X135" s="168">
        <f t="shared" ref="X135:X166" si="21">$E$120/$G$124</f>
        <v>6558.3333333333339</v>
      </c>
      <c r="Y135" s="168">
        <f t="shared" ref="Y135:Y166" si="22">$E$121/$G$124</f>
        <v>7500</v>
      </c>
      <c r="Z135" s="190">
        <f t="array" ref="Z135">MIN(IF(Q135:Y135&gt;P135,Q135:Y135))</f>
        <v>2408.3333333333335</v>
      </c>
      <c r="AA135" s="184">
        <f t="shared" si="2"/>
        <v>0</v>
      </c>
      <c r="AB135" s="168">
        <f t="shared" ref="AB135:AB166" si="23">MAX(N135,Z135)</f>
        <v>7381.8181818181811</v>
      </c>
      <c r="AC135" s="187" t="str">
        <f t="shared" ref="AC135:AC166" si="24">IF(OR(E135=AB135,Q135=AB135),$E$134,"")</f>
        <v/>
      </c>
      <c r="AD135" s="187" t="str">
        <f t="shared" ref="AD135:AD166" si="25">IF(OR(F135=AB135,R135=AB135),$F$134,"")</f>
        <v/>
      </c>
      <c r="AE135" s="187" t="str">
        <f t="shared" ref="AE135:AE166" si="26">IF(OR(G135=AB135,S135=AB135),$G$134,"")</f>
        <v/>
      </c>
      <c r="AF135" s="187" t="str">
        <f t="shared" ref="AF135:AF166" si="27">IF(OR(H135=AB135,T135=AB135),$H$134,"")</f>
        <v>Casing 4</v>
      </c>
      <c r="AG135" s="187" t="str">
        <f>IF(OR(I135=AB135,U135=AB135),$I$134,"")</f>
        <v/>
      </c>
      <c r="AH135" s="187" t="str">
        <f t="shared" ref="AH135:AH166" si="28">IF(OR(J135=AB135,V135=AB135),$J$134,"")</f>
        <v/>
      </c>
      <c r="AI135" s="187" t="str">
        <f t="shared" ref="AI135:AI166" si="29">IF(OR(K135=AB135,W135=AB135),$K$134,"")</f>
        <v/>
      </c>
      <c r="AJ135" s="187" t="str">
        <f t="shared" ref="AJ135:AJ166" si="30">IF(OR(L135=AB135,Y135=AB135),$L$134,"")</f>
        <v/>
      </c>
      <c r="AK135" s="187" t="str">
        <f t="shared" ref="AK135:AK166" si="31">IF(OR(M135=AB135,Y135=AB135),$M$134,"")</f>
        <v/>
      </c>
      <c r="AL135" s="187" t="str">
        <f>LOOKUP(2,1/(AC135:AK135&lt;&gt;""),AC135:AK135)</f>
        <v>Casing 4</v>
      </c>
      <c r="AM135" s="193">
        <f>AreaSelect(AL135)</f>
        <v>12.763</v>
      </c>
      <c r="AN135" s="194">
        <f>YmSelect(AL135)</f>
        <v>80000</v>
      </c>
      <c r="AO135" s="194">
        <f>JointStrengthSelect(AL135)</f>
        <v>1066000</v>
      </c>
      <c r="AP135" s="192" t="s">
        <v>198</v>
      </c>
      <c r="AQ135" s="192" t="s">
        <v>198</v>
      </c>
      <c r="BE135" s="12"/>
    </row>
    <row r="136" spans="1:57">
      <c r="A136" s="184">
        <f t="shared" si="0"/>
        <v>45</v>
      </c>
      <c r="B136" s="172">
        <f t="shared" ref="B136:B167" si="32">AX15</f>
        <v>311764.2379422448</v>
      </c>
      <c r="C136" s="181">
        <f t="shared" ref="C136:C167" si="33">K15</f>
        <v>45</v>
      </c>
      <c r="D136" s="168">
        <f t="shared" si="3"/>
        <v>6984.605263157895</v>
      </c>
      <c r="E136" s="168">
        <f t="shared" si="4"/>
        <v>3963.6363636363635</v>
      </c>
      <c r="F136" s="168">
        <f t="shared" si="5"/>
        <v>4527.272727272727</v>
      </c>
      <c r="G136" s="168">
        <f t="shared" si="6"/>
        <v>3763.6363636363635</v>
      </c>
      <c r="H136" s="168">
        <f t="shared" si="7"/>
        <v>7381.8181818181811</v>
      </c>
      <c r="I136" s="168">
        <f t="shared" si="8"/>
        <v>6581.8181818181811</v>
      </c>
      <c r="J136" s="168">
        <f t="shared" si="9"/>
        <v>7418.181818181818</v>
      </c>
      <c r="K136" s="168">
        <f t="shared" si="10"/>
        <v>9054.545454545454</v>
      </c>
      <c r="L136" s="168">
        <f t="shared" si="11"/>
        <v>9872.7272727272721</v>
      </c>
      <c r="M136" s="168">
        <f t="shared" si="12"/>
        <v>10909.090909090908</v>
      </c>
      <c r="N136" s="168">
        <f t="array" ref="N136">MIN(IF(E136:M136&gt;D136,E136:M136))</f>
        <v>7381.8181818181811</v>
      </c>
      <c r="O136" s="184">
        <f t="shared" si="1"/>
        <v>45</v>
      </c>
      <c r="P136" s="168">
        <f t="shared" si="13"/>
        <v>26.05263157894737</v>
      </c>
      <c r="Q136" s="168">
        <f t="shared" si="14"/>
        <v>2741.666666666667</v>
      </c>
      <c r="R136" s="168">
        <f t="shared" si="15"/>
        <v>3383.3333333333335</v>
      </c>
      <c r="S136" s="168">
        <f t="shared" si="16"/>
        <v>2408.3333333333335</v>
      </c>
      <c r="T136" s="168">
        <f t="shared" si="17"/>
        <v>5791.666666666667</v>
      </c>
      <c r="U136" s="168">
        <f t="shared" si="18"/>
        <v>4433.3333333333339</v>
      </c>
      <c r="V136" s="168">
        <f t="shared" si="19"/>
        <v>5308.3333333333339</v>
      </c>
      <c r="W136" s="168">
        <f t="shared" si="20"/>
        <v>7016.666666666667</v>
      </c>
      <c r="X136" s="168">
        <f t="shared" si="21"/>
        <v>6558.3333333333339</v>
      </c>
      <c r="Y136" s="168">
        <f t="shared" si="22"/>
        <v>7500</v>
      </c>
      <c r="Z136" s="190">
        <f t="array" ref="Z136">MIN(IF(Q136:Y136&gt;P136,Q136:Y136))</f>
        <v>2408.3333333333335</v>
      </c>
      <c r="AA136" s="184">
        <f t="shared" si="2"/>
        <v>45</v>
      </c>
      <c r="AB136" s="168">
        <f t="shared" si="23"/>
        <v>7381.8181818181811</v>
      </c>
      <c r="AC136" s="187" t="str">
        <f t="shared" si="24"/>
        <v/>
      </c>
      <c r="AD136" s="187" t="str">
        <f t="shared" si="25"/>
        <v/>
      </c>
      <c r="AE136" s="187" t="str">
        <f t="shared" si="26"/>
        <v/>
      </c>
      <c r="AF136" s="187" t="str">
        <f t="shared" si="27"/>
        <v>Casing 4</v>
      </c>
      <c r="AG136" s="187" t="str">
        <f t="shared" ref="AG136:AG199" si="34">IF(OR(I136=AB136,U136=AB136),$I$134,"")</f>
        <v/>
      </c>
      <c r="AH136" s="187" t="str">
        <f t="shared" si="28"/>
        <v/>
      </c>
      <c r="AI136" s="187" t="str">
        <f t="shared" si="29"/>
        <v/>
      </c>
      <c r="AJ136" s="187" t="str">
        <f t="shared" si="30"/>
        <v/>
      </c>
      <c r="AK136" s="187" t="str">
        <f t="shared" si="31"/>
        <v/>
      </c>
      <c r="AL136" s="187" t="str">
        <f>LOOKUP(2,1/(AC136:AK136&lt;&gt;""),AC136:AK136)</f>
        <v>Casing 4</v>
      </c>
      <c r="AM136" s="193">
        <f t="shared" ref="AM136:AM199" si="35">AreaSelect(AL136)</f>
        <v>12.763</v>
      </c>
      <c r="AN136" s="194">
        <f t="shared" ref="AN136:AN199" si="36">YmSelect(AL136)</f>
        <v>80000</v>
      </c>
      <c r="AO136" s="194">
        <f t="shared" ref="AO136:AO199" si="37">JointStrengthSelect(AL136)</f>
        <v>1066000</v>
      </c>
      <c r="AP136" s="189">
        <f>(AN136*AM136)/B136</f>
        <v>3.2750388779009043</v>
      </c>
      <c r="AQ136" s="189">
        <f>AO136/B136</f>
        <v>3.4192504151084817</v>
      </c>
      <c r="BE136" s="12"/>
    </row>
    <row r="137" spans="1:57">
      <c r="A137" s="184">
        <f t="shared" si="0"/>
        <v>90</v>
      </c>
      <c r="B137" s="172">
        <f t="shared" si="32"/>
        <v>310857.4879422448</v>
      </c>
      <c r="C137" s="181">
        <f t="shared" si="33"/>
        <v>90</v>
      </c>
      <c r="D137" s="168">
        <f t="shared" si="3"/>
        <v>6969.21052631579</v>
      </c>
      <c r="E137" s="168">
        <f t="shared" si="4"/>
        <v>3963.6363636363635</v>
      </c>
      <c r="F137" s="168">
        <f t="shared" si="5"/>
        <v>4527.272727272727</v>
      </c>
      <c r="G137" s="168">
        <f t="shared" si="6"/>
        <v>3763.6363636363635</v>
      </c>
      <c r="H137" s="168">
        <f t="shared" si="7"/>
        <v>7381.8181818181811</v>
      </c>
      <c r="I137" s="168">
        <f t="shared" si="8"/>
        <v>6581.8181818181811</v>
      </c>
      <c r="J137" s="168">
        <f t="shared" si="9"/>
        <v>7418.181818181818</v>
      </c>
      <c r="K137" s="168">
        <f t="shared" si="10"/>
        <v>9054.545454545454</v>
      </c>
      <c r="L137" s="168">
        <f t="shared" si="11"/>
        <v>9872.7272727272721</v>
      </c>
      <c r="M137" s="168">
        <f t="shared" si="12"/>
        <v>10909.090909090908</v>
      </c>
      <c r="N137" s="168">
        <f t="array" ref="N137">MIN(IF(E137:M137&gt;D137,E137:M137))</f>
        <v>7381.8181818181811</v>
      </c>
      <c r="O137" s="184">
        <f t="shared" si="1"/>
        <v>90</v>
      </c>
      <c r="P137" s="168">
        <f t="shared" si="13"/>
        <v>52.10526315789474</v>
      </c>
      <c r="Q137" s="168">
        <f t="shared" si="14"/>
        <v>2741.666666666667</v>
      </c>
      <c r="R137" s="168">
        <f t="shared" si="15"/>
        <v>3383.3333333333335</v>
      </c>
      <c r="S137" s="168">
        <f t="shared" si="16"/>
        <v>2408.3333333333335</v>
      </c>
      <c r="T137" s="168">
        <f t="shared" si="17"/>
        <v>5791.666666666667</v>
      </c>
      <c r="U137" s="168">
        <f t="shared" si="18"/>
        <v>4433.3333333333339</v>
      </c>
      <c r="V137" s="168">
        <f t="shared" si="19"/>
        <v>5308.3333333333339</v>
      </c>
      <c r="W137" s="168">
        <f t="shared" si="20"/>
        <v>7016.666666666667</v>
      </c>
      <c r="X137" s="168">
        <f t="shared" si="21"/>
        <v>6558.3333333333339</v>
      </c>
      <c r="Y137" s="168">
        <f t="shared" si="22"/>
        <v>7500</v>
      </c>
      <c r="Z137" s="190">
        <f t="array" ref="Z137">MIN(IF(Q137:Y137&gt;P137,Q137:Y137))</f>
        <v>2408.3333333333335</v>
      </c>
      <c r="AA137" s="184">
        <f t="shared" si="2"/>
        <v>90</v>
      </c>
      <c r="AB137" s="168">
        <f t="shared" si="23"/>
        <v>7381.8181818181811</v>
      </c>
      <c r="AC137" s="187" t="str">
        <f t="shared" si="24"/>
        <v/>
      </c>
      <c r="AD137" s="187" t="str">
        <f t="shared" si="25"/>
        <v/>
      </c>
      <c r="AE137" s="187" t="str">
        <f t="shared" si="26"/>
        <v/>
      </c>
      <c r="AF137" s="187" t="str">
        <f t="shared" si="27"/>
        <v>Casing 4</v>
      </c>
      <c r="AG137" s="187" t="str">
        <f t="shared" si="34"/>
        <v/>
      </c>
      <c r="AH137" s="187" t="str">
        <f t="shared" si="28"/>
        <v/>
      </c>
      <c r="AI137" s="187" t="str">
        <f t="shared" si="29"/>
        <v/>
      </c>
      <c r="AJ137" s="187" t="str">
        <f t="shared" si="30"/>
        <v/>
      </c>
      <c r="AK137" s="187" t="str">
        <f t="shared" si="31"/>
        <v/>
      </c>
      <c r="AL137" s="187" t="str">
        <f t="shared" ref="AL137:AL199" si="38">LOOKUP(2,1/(AC137:AK137&lt;&gt;""),AC137:AK137)</f>
        <v>Casing 4</v>
      </c>
      <c r="AM137" s="193">
        <f t="shared" si="35"/>
        <v>12.763</v>
      </c>
      <c r="AN137" s="194">
        <f t="shared" si="36"/>
        <v>80000</v>
      </c>
      <c r="AO137" s="194">
        <f t="shared" si="37"/>
        <v>1066000</v>
      </c>
      <c r="AP137" s="189">
        <f t="shared" ref="AP137:AP200" si="39">(AN137*AM137)/B137</f>
        <v>3.2845919419824376</v>
      </c>
      <c r="AQ137" s="189">
        <f t="shared" ref="AQ137:AQ200" si="40">AO137/B137</f>
        <v>3.4292241343662133</v>
      </c>
      <c r="BE137" s="12"/>
    </row>
    <row r="138" spans="1:57">
      <c r="A138" s="184">
        <f t="shared" si="0"/>
        <v>135</v>
      </c>
      <c r="B138" s="172">
        <f t="shared" si="32"/>
        <v>309950.7379422448</v>
      </c>
      <c r="C138" s="181">
        <f t="shared" si="33"/>
        <v>135</v>
      </c>
      <c r="D138" s="168">
        <f t="shared" si="3"/>
        <v>6953.8157894736842</v>
      </c>
      <c r="E138" s="168">
        <f t="shared" si="4"/>
        <v>3963.6363636363635</v>
      </c>
      <c r="F138" s="168">
        <f t="shared" si="5"/>
        <v>4527.272727272727</v>
      </c>
      <c r="G138" s="168">
        <f t="shared" si="6"/>
        <v>3763.6363636363635</v>
      </c>
      <c r="H138" s="168">
        <f t="shared" si="7"/>
        <v>7381.8181818181811</v>
      </c>
      <c r="I138" s="168">
        <f t="shared" si="8"/>
        <v>6581.8181818181811</v>
      </c>
      <c r="J138" s="168">
        <f t="shared" si="9"/>
        <v>7418.181818181818</v>
      </c>
      <c r="K138" s="168">
        <f t="shared" si="10"/>
        <v>9054.545454545454</v>
      </c>
      <c r="L138" s="168">
        <f t="shared" si="11"/>
        <v>9872.7272727272721</v>
      </c>
      <c r="M138" s="168">
        <f t="shared" si="12"/>
        <v>10909.090909090908</v>
      </c>
      <c r="N138" s="168">
        <f t="array" ref="N138">MIN(IF(E138:M138&gt;D138,E138:M138))</f>
        <v>7381.8181818181811</v>
      </c>
      <c r="O138" s="184">
        <f t="shared" si="1"/>
        <v>135</v>
      </c>
      <c r="P138" s="168">
        <f t="shared" si="13"/>
        <v>78.15789473684211</v>
      </c>
      <c r="Q138" s="168">
        <f t="shared" si="14"/>
        <v>2741.666666666667</v>
      </c>
      <c r="R138" s="168">
        <f t="shared" si="15"/>
        <v>3383.3333333333335</v>
      </c>
      <c r="S138" s="168">
        <f t="shared" si="16"/>
        <v>2408.3333333333335</v>
      </c>
      <c r="T138" s="168">
        <f t="shared" si="17"/>
        <v>5791.666666666667</v>
      </c>
      <c r="U138" s="168">
        <f t="shared" si="18"/>
        <v>4433.3333333333339</v>
      </c>
      <c r="V138" s="168">
        <f t="shared" si="19"/>
        <v>5308.3333333333339</v>
      </c>
      <c r="W138" s="168">
        <f t="shared" si="20"/>
        <v>7016.666666666667</v>
      </c>
      <c r="X138" s="168">
        <f t="shared" si="21"/>
        <v>6558.3333333333339</v>
      </c>
      <c r="Y138" s="168">
        <f t="shared" si="22"/>
        <v>7500</v>
      </c>
      <c r="Z138" s="190">
        <f t="array" ref="Z138">MIN(IF(Q138:Y138&gt;P138,Q138:Y138))</f>
        <v>2408.3333333333335</v>
      </c>
      <c r="AA138" s="184">
        <f t="shared" si="2"/>
        <v>135</v>
      </c>
      <c r="AB138" s="168">
        <f t="shared" si="23"/>
        <v>7381.8181818181811</v>
      </c>
      <c r="AC138" s="187" t="str">
        <f t="shared" si="24"/>
        <v/>
      </c>
      <c r="AD138" s="187" t="str">
        <f t="shared" si="25"/>
        <v/>
      </c>
      <c r="AE138" s="187" t="str">
        <f t="shared" si="26"/>
        <v/>
      </c>
      <c r="AF138" s="187" t="str">
        <f t="shared" si="27"/>
        <v>Casing 4</v>
      </c>
      <c r="AG138" s="187" t="str">
        <f t="shared" si="34"/>
        <v/>
      </c>
      <c r="AH138" s="187" t="str">
        <f t="shared" si="28"/>
        <v/>
      </c>
      <c r="AI138" s="187" t="str">
        <f t="shared" si="29"/>
        <v/>
      </c>
      <c r="AJ138" s="187" t="str">
        <f t="shared" si="30"/>
        <v/>
      </c>
      <c r="AK138" s="187" t="str">
        <f t="shared" si="31"/>
        <v/>
      </c>
      <c r="AL138" s="187" t="str">
        <f t="shared" si="38"/>
        <v>Casing 4</v>
      </c>
      <c r="AM138" s="193">
        <f t="shared" si="35"/>
        <v>12.763</v>
      </c>
      <c r="AN138" s="194">
        <f t="shared" si="36"/>
        <v>80000</v>
      </c>
      <c r="AO138" s="194">
        <f t="shared" si="37"/>
        <v>1066000</v>
      </c>
      <c r="AP138" s="189">
        <f t="shared" si="39"/>
        <v>3.2942009003710044</v>
      </c>
      <c r="AQ138" s="189">
        <f t="shared" si="40"/>
        <v>3.439256209154872</v>
      </c>
      <c r="BE138" s="12"/>
    </row>
    <row r="139" spans="1:57">
      <c r="A139" s="184">
        <f t="shared" si="0"/>
        <v>180</v>
      </c>
      <c r="B139" s="172">
        <f t="shared" si="32"/>
        <v>309043.9879422448</v>
      </c>
      <c r="C139" s="181">
        <f t="shared" si="33"/>
        <v>180</v>
      </c>
      <c r="D139" s="168">
        <f t="shared" si="3"/>
        <v>6938.4210526315792</v>
      </c>
      <c r="E139" s="168">
        <f t="shared" si="4"/>
        <v>3963.6363636363635</v>
      </c>
      <c r="F139" s="168">
        <f t="shared" si="5"/>
        <v>4527.272727272727</v>
      </c>
      <c r="G139" s="168">
        <f t="shared" si="6"/>
        <v>3763.6363636363635</v>
      </c>
      <c r="H139" s="168">
        <f t="shared" si="7"/>
        <v>7381.8181818181811</v>
      </c>
      <c r="I139" s="168">
        <f t="shared" si="8"/>
        <v>6581.8181818181811</v>
      </c>
      <c r="J139" s="168">
        <f t="shared" si="9"/>
        <v>7418.181818181818</v>
      </c>
      <c r="K139" s="168">
        <f t="shared" si="10"/>
        <v>9054.545454545454</v>
      </c>
      <c r="L139" s="168">
        <f t="shared" si="11"/>
        <v>9872.7272727272721</v>
      </c>
      <c r="M139" s="168">
        <f t="shared" si="12"/>
        <v>10909.090909090908</v>
      </c>
      <c r="N139" s="168">
        <f t="array" ref="N139">MIN(IF(E139:M139&gt;D139,E139:M139))</f>
        <v>7381.8181818181811</v>
      </c>
      <c r="O139" s="184">
        <f t="shared" si="1"/>
        <v>180</v>
      </c>
      <c r="P139" s="168">
        <f t="shared" si="13"/>
        <v>104.21052631578948</v>
      </c>
      <c r="Q139" s="168">
        <f t="shared" si="14"/>
        <v>2741.666666666667</v>
      </c>
      <c r="R139" s="168">
        <f t="shared" si="15"/>
        <v>3383.3333333333335</v>
      </c>
      <c r="S139" s="168">
        <f t="shared" si="16"/>
        <v>2408.3333333333335</v>
      </c>
      <c r="T139" s="168">
        <f t="shared" si="17"/>
        <v>5791.666666666667</v>
      </c>
      <c r="U139" s="168">
        <f t="shared" si="18"/>
        <v>4433.3333333333339</v>
      </c>
      <c r="V139" s="168">
        <f t="shared" si="19"/>
        <v>5308.3333333333339</v>
      </c>
      <c r="W139" s="168">
        <f t="shared" si="20"/>
        <v>7016.666666666667</v>
      </c>
      <c r="X139" s="168">
        <f t="shared" si="21"/>
        <v>6558.3333333333339</v>
      </c>
      <c r="Y139" s="168">
        <f t="shared" si="22"/>
        <v>7500</v>
      </c>
      <c r="Z139" s="190">
        <f t="array" ref="Z139">MIN(IF(Q139:Y139&gt;P139,Q139:Y139))</f>
        <v>2408.3333333333335</v>
      </c>
      <c r="AA139" s="184">
        <f t="shared" si="2"/>
        <v>180</v>
      </c>
      <c r="AB139" s="168">
        <f t="shared" si="23"/>
        <v>7381.8181818181811</v>
      </c>
      <c r="AC139" s="187" t="str">
        <f t="shared" si="24"/>
        <v/>
      </c>
      <c r="AD139" s="187" t="str">
        <f t="shared" si="25"/>
        <v/>
      </c>
      <c r="AE139" s="187" t="str">
        <f t="shared" si="26"/>
        <v/>
      </c>
      <c r="AF139" s="187" t="str">
        <f t="shared" si="27"/>
        <v>Casing 4</v>
      </c>
      <c r="AG139" s="187" t="str">
        <f t="shared" si="34"/>
        <v/>
      </c>
      <c r="AH139" s="187" t="str">
        <f t="shared" si="28"/>
        <v/>
      </c>
      <c r="AI139" s="187" t="str">
        <f t="shared" si="29"/>
        <v/>
      </c>
      <c r="AJ139" s="187" t="str">
        <f t="shared" si="30"/>
        <v/>
      </c>
      <c r="AK139" s="187" t="str">
        <f t="shared" si="31"/>
        <v/>
      </c>
      <c r="AL139" s="187" t="str">
        <f t="shared" si="38"/>
        <v>Casing 4</v>
      </c>
      <c r="AM139" s="193">
        <f t="shared" si="35"/>
        <v>12.763</v>
      </c>
      <c r="AN139" s="194">
        <f t="shared" si="36"/>
        <v>80000</v>
      </c>
      <c r="AO139" s="194">
        <f t="shared" si="37"/>
        <v>1066000</v>
      </c>
      <c r="AP139" s="189">
        <f t="shared" si="39"/>
        <v>3.3038662450564011</v>
      </c>
      <c r="AQ139" s="189">
        <f t="shared" si="40"/>
        <v>3.4493471531283042</v>
      </c>
      <c r="BE139" s="12"/>
    </row>
    <row r="140" spans="1:57">
      <c r="A140" s="184">
        <f t="shared" si="0"/>
        <v>225</v>
      </c>
      <c r="B140" s="172">
        <f t="shared" si="32"/>
        <v>308137.2379422448</v>
      </c>
      <c r="C140" s="181">
        <f t="shared" si="33"/>
        <v>225</v>
      </c>
      <c r="D140" s="168">
        <f t="shared" si="3"/>
        <v>6923.0263157894742</v>
      </c>
      <c r="E140" s="168">
        <f t="shared" si="4"/>
        <v>3963.6363636363635</v>
      </c>
      <c r="F140" s="168">
        <f t="shared" si="5"/>
        <v>4527.272727272727</v>
      </c>
      <c r="G140" s="168">
        <f t="shared" si="6"/>
        <v>3763.6363636363635</v>
      </c>
      <c r="H140" s="168">
        <f t="shared" si="7"/>
        <v>7381.8181818181811</v>
      </c>
      <c r="I140" s="168">
        <f t="shared" si="8"/>
        <v>6581.8181818181811</v>
      </c>
      <c r="J140" s="168">
        <f t="shared" si="9"/>
        <v>7418.181818181818</v>
      </c>
      <c r="K140" s="168">
        <f t="shared" si="10"/>
        <v>9054.545454545454</v>
      </c>
      <c r="L140" s="168">
        <f t="shared" si="11"/>
        <v>9872.7272727272721</v>
      </c>
      <c r="M140" s="168">
        <f t="shared" si="12"/>
        <v>10909.090909090908</v>
      </c>
      <c r="N140" s="168">
        <f t="array" ref="N140">MIN(IF(E140:M140&gt;D140,E140:M140))</f>
        <v>7381.8181818181811</v>
      </c>
      <c r="O140" s="184">
        <f t="shared" si="1"/>
        <v>225</v>
      </c>
      <c r="P140" s="168">
        <f t="shared" si="13"/>
        <v>130.26315789473685</v>
      </c>
      <c r="Q140" s="168">
        <f t="shared" si="14"/>
        <v>2741.666666666667</v>
      </c>
      <c r="R140" s="168">
        <f t="shared" si="15"/>
        <v>3383.3333333333335</v>
      </c>
      <c r="S140" s="168">
        <f t="shared" si="16"/>
        <v>2408.3333333333335</v>
      </c>
      <c r="T140" s="168">
        <f t="shared" si="17"/>
        <v>5791.666666666667</v>
      </c>
      <c r="U140" s="168">
        <f t="shared" si="18"/>
        <v>4433.3333333333339</v>
      </c>
      <c r="V140" s="168">
        <f t="shared" si="19"/>
        <v>5308.3333333333339</v>
      </c>
      <c r="W140" s="168">
        <f t="shared" si="20"/>
        <v>7016.666666666667</v>
      </c>
      <c r="X140" s="168">
        <f t="shared" si="21"/>
        <v>6558.3333333333339</v>
      </c>
      <c r="Y140" s="168">
        <f t="shared" si="22"/>
        <v>7500</v>
      </c>
      <c r="Z140" s="190">
        <f t="array" ref="Z140">MIN(IF(Q140:Y140&gt;P140,Q140:Y140))</f>
        <v>2408.3333333333335</v>
      </c>
      <c r="AA140" s="184">
        <f t="shared" si="2"/>
        <v>225</v>
      </c>
      <c r="AB140" s="168">
        <f t="shared" si="23"/>
        <v>7381.8181818181811</v>
      </c>
      <c r="AC140" s="187" t="str">
        <f t="shared" si="24"/>
        <v/>
      </c>
      <c r="AD140" s="187" t="str">
        <f t="shared" si="25"/>
        <v/>
      </c>
      <c r="AE140" s="187" t="str">
        <f t="shared" si="26"/>
        <v/>
      </c>
      <c r="AF140" s="187" t="str">
        <f t="shared" si="27"/>
        <v>Casing 4</v>
      </c>
      <c r="AG140" s="187" t="str">
        <f t="shared" si="34"/>
        <v/>
      </c>
      <c r="AH140" s="187" t="str">
        <f t="shared" si="28"/>
        <v/>
      </c>
      <c r="AI140" s="187" t="str">
        <f t="shared" si="29"/>
        <v/>
      </c>
      <c r="AJ140" s="187" t="str">
        <f t="shared" si="30"/>
        <v/>
      </c>
      <c r="AK140" s="187" t="str">
        <f t="shared" si="31"/>
        <v/>
      </c>
      <c r="AL140" s="187" t="str">
        <f t="shared" si="38"/>
        <v>Casing 4</v>
      </c>
      <c r="AM140" s="193">
        <f t="shared" si="35"/>
        <v>12.763</v>
      </c>
      <c r="AN140" s="194">
        <f t="shared" si="36"/>
        <v>80000</v>
      </c>
      <c r="AO140" s="194">
        <f t="shared" si="37"/>
        <v>1066000</v>
      </c>
      <c r="AP140" s="189">
        <f t="shared" si="39"/>
        <v>3.3135884738195029</v>
      </c>
      <c r="AQ140" s="189">
        <f t="shared" si="40"/>
        <v>3.4594974859864358</v>
      </c>
      <c r="BE140" s="12"/>
    </row>
    <row r="141" spans="1:57">
      <c r="A141" s="184">
        <f t="shared" si="0"/>
        <v>270</v>
      </c>
      <c r="B141" s="172">
        <f t="shared" si="32"/>
        <v>307230.4879422448</v>
      </c>
      <c r="C141" s="181">
        <f t="shared" si="33"/>
        <v>270</v>
      </c>
      <c r="D141" s="168">
        <f t="shared" si="3"/>
        <v>6907.6315789473683</v>
      </c>
      <c r="E141" s="168">
        <f t="shared" si="4"/>
        <v>3963.6363636363635</v>
      </c>
      <c r="F141" s="168">
        <f t="shared" si="5"/>
        <v>4527.272727272727</v>
      </c>
      <c r="G141" s="168">
        <f t="shared" si="6"/>
        <v>3763.6363636363635</v>
      </c>
      <c r="H141" s="168">
        <f t="shared" si="7"/>
        <v>7381.8181818181811</v>
      </c>
      <c r="I141" s="168">
        <f t="shared" si="8"/>
        <v>6581.8181818181811</v>
      </c>
      <c r="J141" s="168">
        <f t="shared" si="9"/>
        <v>7418.181818181818</v>
      </c>
      <c r="K141" s="168">
        <f t="shared" si="10"/>
        <v>9054.545454545454</v>
      </c>
      <c r="L141" s="168">
        <f t="shared" si="11"/>
        <v>9872.7272727272721</v>
      </c>
      <c r="M141" s="168">
        <f t="shared" si="12"/>
        <v>10909.090909090908</v>
      </c>
      <c r="N141" s="168">
        <f t="array" ref="N141">MIN(IF(E141:M141&gt;D141,E141:M141))</f>
        <v>7381.8181818181811</v>
      </c>
      <c r="O141" s="184">
        <f t="shared" si="1"/>
        <v>270</v>
      </c>
      <c r="P141" s="168">
        <f t="shared" si="13"/>
        <v>156.31578947368422</v>
      </c>
      <c r="Q141" s="168">
        <f t="shared" si="14"/>
        <v>2741.666666666667</v>
      </c>
      <c r="R141" s="168">
        <f t="shared" si="15"/>
        <v>3383.3333333333335</v>
      </c>
      <c r="S141" s="168">
        <f t="shared" si="16"/>
        <v>2408.3333333333335</v>
      </c>
      <c r="T141" s="168">
        <f t="shared" si="17"/>
        <v>5791.666666666667</v>
      </c>
      <c r="U141" s="168">
        <f t="shared" si="18"/>
        <v>4433.3333333333339</v>
      </c>
      <c r="V141" s="168">
        <f t="shared" si="19"/>
        <v>5308.3333333333339</v>
      </c>
      <c r="W141" s="168">
        <f t="shared" si="20"/>
        <v>7016.666666666667</v>
      </c>
      <c r="X141" s="168">
        <f t="shared" si="21"/>
        <v>6558.3333333333339</v>
      </c>
      <c r="Y141" s="168">
        <f t="shared" si="22"/>
        <v>7500</v>
      </c>
      <c r="Z141" s="190">
        <f t="array" ref="Z141">MIN(IF(Q141:Y141&gt;P141,Q141:Y141))</f>
        <v>2408.3333333333335</v>
      </c>
      <c r="AA141" s="184">
        <f t="shared" si="2"/>
        <v>270</v>
      </c>
      <c r="AB141" s="168">
        <f t="shared" si="23"/>
        <v>7381.8181818181811</v>
      </c>
      <c r="AC141" s="187" t="str">
        <f t="shared" si="24"/>
        <v/>
      </c>
      <c r="AD141" s="187" t="str">
        <f t="shared" si="25"/>
        <v/>
      </c>
      <c r="AE141" s="187" t="str">
        <f t="shared" si="26"/>
        <v/>
      </c>
      <c r="AF141" s="187" t="str">
        <f t="shared" si="27"/>
        <v>Casing 4</v>
      </c>
      <c r="AG141" s="187" t="str">
        <f t="shared" si="34"/>
        <v/>
      </c>
      <c r="AH141" s="187" t="str">
        <f t="shared" si="28"/>
        <v/>
      </c>
      <c r="AI141" s="187" t="str">
        <f t="shared" si="29"/>
        <v/>
      </c>
      <c r="AJ141" s="187" t="str">
        <f t="shared" si="30"/>
        <v/>
      </c>
      <c r="AK141" s="187" t="str">
        <f t="shared" si="31"/>
        <v/>
      </c>
      <c r="AL141" s="187" t="str">
        <f t="shared" si="38"/>
        <v>Casing 4</v>
      </c>
      <c r="AM141" s="193">
        <f t="shared" si="35"/>
        <v>12.763</v>
      </c>
      <c r="AN141" s="194">
        <f t="shared" si="36"/>
        <v>80000</v>
      </c>
      <c r="AO141" s="194">
        <f t="shared" si="37"/>
        <v>1066000</v>
      </c>
      <c r="AP141" s="189">
        <f t="shared" si="39"/>
        <v>3.3233680903177221</v>
      </c>
      <c r="AQ141" s="189">
        <f t="shared" si="40"/>
        <v>3.4697077335644946</v>
      </c>
      <c r="BE141" s="12"/>
    </row>
    <row r="142" spans="1:57">
      <c r="A142" s="184">
        <f t="shared" si="0"/>
        <v>315</v>
      </c>
      <c r="B142" s="172">
        <f t="shared" si="32"/>
        <v>306323.7379422448</v>
      </c>
      <c r="C142" s="181">
        <f t="shared" si="33"/>
        <v>315</v>
      </c>
      <c r="D142" s="168">
        <f t="shared" si="3"/>
        <v>6892.2368421052633</v>
      </c>
      <c r="E142" s="168">
        <f t="shared" si="4"/>
        <v>3963.6363636363635</v>
      </c>
      <c r="F142" s="168">
        <f t="shared" si="5"/>
        <v>4527.272727272727</v>
      </c>
      <c r="G142" s="168">
        <f t="shared" si="6"/>
        <v>3763.6363636363635</v>
      </c>
      <c r="H142" s="168">
        <f t="shared" si="7"/>
        <v>7381.8181818181811</v>
      </c>
      <c r="I142" s="168">
        <f t="shared" si="8"/>
        <v>6581.8181818181811</v>
      </c>
      <c r="J142" s="168">
        <f t="shared" si="9"/>
        <v>7418.181818181818</v>
      </c>
      <c r="K142" s="168">
        <f t="shared" si="10"/>
        <v>9054.545454545454</v>
      </c>
      <c r="L142" s="168">
        <f t="shared" si="11"/>
        <v>9872.7272727272721</v>
      </c>
      <c r="M142" s="168">
        <f t="shared" si="12"/>
        <v>10909.090909090908</v>
      </c>
      <c r="N142" s="168">
        <f t="array" ref="N142">MIN(IF(E142:M142&gt;D142,E142:M142))</f>
        <v>7381.8181818181811</v>
      </c>
      <c r="O142" s="184">
        <f t="shared" si="1"/>
        <v>315</v>
      </c>
      <c r="P142" s="168">
        <f t="shared" si="13"/>
        <v>182.36842105263159</v>
      </c>
      <c r="Q142" s="168">
        <f t="shared" si="14"/>
        <v>2741.666666666667</v>
      </c>
      <c r="R142" s="168">
        <f t="shared" si="15"/>
        <v>3383.3333333333335</v>
      </c>
      <c r="S142" s="168">
        <f t="shared" si="16"/>
        <v>2408.3333333333335</v>
      </c>
      <c r="T142" s="168">
        <f t="shared" si="17"/>
        <v>5791.666666666667</v>
      </c>
      <c r="U142" s="168">
        <f t="shared" si="18"/>
        <v>4433.3333333333339</v>
      </c>
      <c r="V142" s="168">
        <f t="shared" si="19"/>
        <v>5308.3333333333339</v>
      </c>
      <c r="W142" s="168">
        <f t="shared" si="20"/>
        <v>7016.666666666667</v>
      </c>
      <c r="X142" s="168">
        <f t="shared" si="21"/>
        <v>6558.3333333333339</v>
      </c>
      <c r="Y142" s="168">
        <f t="shared" si="22"/>
        <v>7500</v>
      </c>
      <c r="Z142" s="190">
        <f t="array" ref="Z142">MIN(IF(Q142:Y142&gt;P142,Q142:Y142))</f>
        <v>2408.3333333333335</v>
      </c>
      <c r="AA142" s="184">
        <f t="shared" si="2"/>
        <v>315</v>
      </c>
      <c r="AB142" s="168">
        <f t="shared" si="23"/>
        <v>7381.8181818181811</v>
      </c>
      <c r="AC142" s="187" t="str">
        <f t="shared" si="24"/>
        <v/>
      </c>
      <c r="AD142" s="187" t="str">
        <f t="shared" si="25"/>
        <v/>
      </c>
      <c r="AE142" s="187" t="str">
        <f t="shared" si="26"/>
        <v/>
      </c>
      <c r="AF142" s="187" t="str">
        <f t="shared" si="27"/>
        <v>Casing 4</v>
      </c>
      <c r="AG142" s="187" t="str">
        <f t="shared" si="34"/>
        <v/>
      </c>
      <c r="AH142" s="187" t="str">
        <f t="shared" si="28"/>
        <v/>
      </c>
      <c r="AI142" s="187" t="str">
        <f t="shared" si="29"/>
        <v/>
      </c>
      <c r="AJ142" s="187" t="str">
        <f t="shared" si="30"/>
        <v/>
      </c>
      <c r="AK142" s="187" t="str">
        <f t="shared" si="31"/>
        <v/>
      </c>
      <c r="AL142" s="187" t="str">
        <f t="shared" si="38"/>
        <v>Casing 4</v>
      </c>
      <c r="AM142" s="193">
        <f t="shared" si="35"/>
        <v>12.763</v>
      </c>
      <c r="AN142" s="194">
        <f t="shared" si="36"/>
        <v>80000</v>
      </c>
      <c r="AO142" s="194">
        <f t="shared" si="37"/>
        <v>1066000</v>
      </c>
      <c r="AP142" s="189">
        <f t="shared" si="39"/>
        <v>3.3332056041719822</v>
      </c>
      <c r="AQ142" s="189">
        <f t="shared" si="40"/>
        <v>3.479978427923816</v>
      </c>
      <c r="BE142" s="12"/>
    </row>
    <row r="143" spans="1:57">
      <c r="A143" s="184">
        <f t="shared" si="0"/>
        <v>360</v>
      </c>
      <c r="B143" s="172">
        <f t="shared" si="32"/>
        <v>305416.9879422448</v>
      </c>
      <c r="C143" s="181">
        <f t="shared" si="33"/>
        <v>360</v>
      </c>
      <c r="D143" s="168">
        <f t="shared" si="3"/>
        <v>6876.8421052631584</v>
      </c>
      <c r="E143" s="168">
        <f t="shared" si="4"/>
        <v>3963.6363636363635</v>
      </c>
      <c r="F143" s="168">
        <f t="shared" si="5"/>
        <v>4527.272727272727</v>
      </c>
      <c r="G143" s="168">
        <f t="shared" si="6"/>
        <v>3763.6363636363635</v>
      </c>
      <c r="H143" s="168">
        <f t="shared" si="7"/>
        <v>7381.8181818181811</v>
      </c>
      <c r="I143" s="168">
        <f t="shared" si="8"/>
        <v>6581.8181818181811</v>
      </c>
      <c r="J143" s="168">
        <f t="shared" si="9"/>
        <v>7418.181818181818</v>
      </c>
      <c r="K143" s="168">
        <f t="shared" si="10"/>
        <v>9054.545454545454</v>
      </c>
      <c r="L143" s="168">
        <f t="shared" si="11"/>
        <v>9872.7272727272721</v>
      </c>
      <c r="M143" s="168">
        <f t="shared" si="12"/>
        <v>10909.090909090908</v>
      </c>
      <c r="N143" s="168">
        <f t="array" ref="N143">MIN(IF(E143:M143&gt;D143,E143:M143))</f>
        <v>7381.8181818181811</v>
      </c>
      <c r="O143" s="184">
        <f t="shared" si="1"/>
        <v>360</v>
      </c>
      <c r="P143" s="168">
        <f t="shared" si="13"/>
        <v>208.42105263157896</v>
      </c>
      <c r="Q143" s="168">
        <f t="shared" si="14"/>
        <v>2741.666666666667</v>
      </c>
      <c r="R143" s="168">
        <f t="shared" si="15"/>
        <v>3383.3333333333335</v>
      </c>
      <c r="S143" s="168">
        <f t="shared" si="16"/>
        <v>2408.3333333333335</v>
      </c>
      <c r="T143" s="168">
        <f t="shared" si="17"/>
        <v>5791.666666666667</v>
      </c>
      <c r="U143" s="168">
        <f t="shared" si="18"/>
        <v>4433.3333333333339</v>
      </c>
      <c r="V143" s="168">
        <f t="shared" si="19"/>
        <v>5308.3333333333339</v>
      </c>
      <c r="W143" s="168">
        <f t="shared" si="20"/>
        <v>7016.666666666667</v>
      </c>
      <c r="X143" s="168">
        <f t="shared" si="21"/>
        <v>6558.3333333333339</v>
      </c>
      <c r="Y143" s="168">
        <f t="shared" si="22"/>
        <v>7500</v>
      </c>
      <c r="Z143" s="190">
        <f t="array" ref="Z143">MIN(IF(Q143:Y143&gt;P143,Q143:Y143))</f>
        <v>2408.3333333333335</v>
      </c>
      <c r="AA143" s="184">
        <f t="shared" si="2"/>
        <v>360</v>
      </c>
      <c r="AB143" s="168">
        <f t="shared" si="23"/>
        <v>7381.8181818181811</v>
      </c>
      <c r="AC143" s="187" t="str">
        <f t="shared" si="24"/>
        <v/>
      </c>
      <c r="AD143" s="187" t="str">
        <f t="shared" si="25"/>
        <v/>
      </c>
      <c r="AE143" s="187" t="str">
        <f t="shared" si="26"/>
        <v/>
      </c>
      <c r="AF143" s="187" t="str">
        <f t="shared" si="27"/>
        <v>Casing 4</v>
      </c>
      <c r="AG143" s="187" t="str">
        <f t="shared" si="34"/>
        <v/>
      </c>
      <c r="AH143" s="187" t="str">
        <f t="shared" si="28"/>
        <v/>
      </c>
      <c r="AI143" s="187" t="str">
        <f t="shared" si="29"/>
        <v/>
      </c>
      <c r="AJ143" s="187" t="str">
        <f t="shared" si="30"/>
        <v/>
      </c>
      <c r="AK143" s="187" t="str">
        <f t="shared" si="31"/>
        <v/>
      </c>
      <c r="AL143" s="187" t="str">
        <f t="shared" si="38"/>
        <v>Casing 4</v>
      </c>
      <c r="AM143" s="193">
        <f t="shared" si="35"/>
        <v>12.763</v>
      </c>
      <c r="AN143" s="194">
        <f t="shared" si="36"/>
        <v>80000</v>
      </c>
      <c r="AO143" s="194">
        <f t="shared" si="37"/>
        <v>1066000</v>
      </c>
      <c r="AP143" s="189">
        <f t="shared" si="39"/>
        <v>3.3431015310552454</v>
      </c>
      <c r="AQ143" s="189">
        <f t="shared" si="40"/>
        <v>3.4903101074442642</v>
      </c>
      <c r="BE143" s="12"/>
    </row>
    <row r="144" spans="1:57">
      <c r="A144" s="184">
        <f t="shared" si="0"/>
        <v>405</v>
      </c>
      <c r="B144" s="172">
        <f t="shared" si="32"/>
        <v>304510.2379422448</v>
      </c>
      <c r="C144" s="181">
        <f t="shared" si="33"/>
        <v>405</v>
      </c>
      <c r="D144" s="168">
        <f t="shared" si="3"/>
        <v>6861.4473684210525</v>
      </c>
      <c r="E144" s="168">
        <f t="shared" si="4"/>
        <v>3963.6363636363635</v>
      </c>
      <c r="F144" s="168">
        <f t="shared" si="5"/>
        <v>4527.272727272727</v>
      </c>
      <c r="G144" s="168">
        <f t="shared" si="6"/>
        <v>3763.6363636363635</v>
      </c>
      <c r="H144" s="168">
        <f t="shared" si="7"/>
        <v>7381.8181818181811</v>
      </c>
      <c r="I144" s="168">
        <f t="shared" si="8"/>
        <v>6581.8181818181811</v>
      </c>
      <c r="J144" s="168">
        <f t="shared" si="9"/>
        <v>7418.181818181818</v>
      </c>
      <c r="K144" s="168">
        <f t="shared" si="10"/>
        <v>9054.545454545454</v>
      </c>
      <c r="L144" s="168">
        <f t="shared" si="11"/>
        <v>9872.7272727272721</v>
      </c>
      <c r="M144" s="168">
        <f t="shared" si="12"/>
        <v>10909.090909090908</v>
      </c>
      <c r="N144" s="168">
        <f t="array" ref="N144">MIN(IF(E144:M144&gt;D144,E144:M144))</f>
        <v>7381.8181818181811</v>
      </c>
      <c r="O144" s="184">
        <f t="shared" si="1"/>
        <v>405</v>
      </c>
      <c r="P144" s="168">
        <f t="shared" si="13"/>
        <v>234.47368421052633</v>
      </c>
      <c r="Q144" s="168">
        <f t="shared" si="14"/>
        <v>2741.666666666667</v>
      </c>
      <c r="R144" s="168">
        <f t="shared" si="15"/>
        <v>3383.3333333333335</v>
      </c>
      <c r="S144" s="168">
        <f t="shared" si="16"/>
        <v>2408.3333333333335</v>
      </c>
      <c r="T144" s="168">
        <f t="shared" si="17"/>
        <v>5791.666666666667</v>
      </c>
      <c r="U144" s="168">
        <f t="shared" si="18"/>
        <v>4433.3333333333339</v>
      </c>
      <c r="V144" s="168">
        <f t="shared" si="19"/>
        <v>5308.3333333333339</v>
      </c>
      <c r="W144" s="168">
        <f t="shared" si="20"/>
        <v>7016.666666666667</v>
      </c>
      <c r="X144" s="168">
        <f t="shared" si="21"/>
        <v>6558.3333333333339</v>
      </c>
      <c r="Y144" s="168">
        <f t="shared" si="22"/>
        <v>7500</v>
      </c>
      <c r="Z144" s="190">
        <f t="array" ref="Z144">MIN(IF(Q144:Y144&gt;P144,Q144:Y144))</f>
        <v>2408.3333333333335</v>
      </c>
      <c r="AA144" s="184">
        <f t="shared" si="2"/>
        <v>405</v>
      </c>
      <c r="AB144" s="168">
        <f t="shared" si="23"/>
        <v>7381.8181818181811</v>
      </c>
      <c r="AC144" s="187" t="str">
        <f t="shared" si="24"/>
        <v/>
      </c>
      <c r="AD144" s="187" t="str">
        <f t="shared" si="25"/>
        <v/>
      </c>
      <c r="AE144" s="187" t="str">
        <f t="shared" si="26"/>
        <v/>
      </c>
      <c r="AF144" s="187" t="str">
        <f t="shared" si="27"/>
        <v>Casing 4</v>
      </c>
      <c r="AG144" s="187" t="str">
        <f t="shared" si="34"/>
        <v/>
      </c>
      <c r="AH144" s="187" t="str">
        <f t="shared" si="28"/>
        <v/>
      </c>
      <c r="AI144" s="187" t="str">
        <f t="shared" si="29"/>
        <v/>
      </c>
      <c r="AJ144" s="187" t="str">
        <f t="shared" si="30"/>
        <v/>
      </c>
      <c r="AK144" s="187" t="str">
        <f t="shared" si="31"/>
        <v/>
      </c>
      <c r="AL144" s="187" t="str">
        <f t="shared" si="38"/>
        <v>Casing 4</v>
      </c>
      <c r="AM144" s="193">
        <f t="shared" si="35"/>
        <v>12.763</v>
      </c>
      <c r="AN144" s="194">
        <f t="shared" si="36"/>
        <v>80000</v>
      </c>
      <c r="AO144" s="194">
        <f t="shared" si="37"/>
        <v>1066000</v>
      </c>
      <c r="AP144" s="189">
        <f t="shared" si="39"/>
        <v>3.353056392782618</v>
      </c>
      <c r="AQ144" s="189">
        <f t="shared" si="40"/>
        <v>3.5007033169183095</v>
      </c>
      <c r="BE144" s="12"/>
    </row>
    <row r="145" spans="1:57">
      <c r="A145" s="184">
        <f t="shared" si="0"/>
        <v>450</v>
      </c>
      <c r="B145" s="172">
        <f t="shared" si="32"/>
        <v>303603.4879422448</v>
      </c>
      <c r="C145" s="181">
        <f t="shared" si="33"/>
        <v>450</v>
      </c>
      <c r="D145" s="168">
        <f t="shared" si="3"/>
        <v>6846.0526315789475</v>
      </c>
      <c r="E145" s="168">
        <f t="shared" si="4"/>
        <v>3963.6363636363635</v>
      </c>
      <c r="F145" s="168">
        <f t="shared" si="5"/>
        <v>4527.272727272727</v>
      </c>
      <c r="G145" s="168">
        <f t="shared" si="6"/>
        <v>3763.6363636363635</v>
      </c>
      <c r="H145" s="168">
        <f t="shared" si="7"/>
        <v>7381.8181818181811</v>
      </c>
      <c r="I145" s="168">
        <f t="shared" si="8"/>
        <v>6581.8181818181811</v>
      </c>
      <c r="J145" s="168">
        <f t="shared" si="9"/>
        <v>7418.181818181818</v>
      </c>
      <c r="K145" s="168">
        <f t="shared" si="10"/>
        <v>9054.545454545454</v>
      </c>
      <c r="L145" s="168">
        <f t="shared" si="11"/>
        <v>9872.7272727272721</v>
      </c>
      <c r="M145" s="168">
        <f t="shared" si="12"/>
        <v>10909.090909090908</v>
      </c>
      <c r="N145" s="168">
        <f t="array" ref="N145">MIN(IF(E145:M145&gt;D145,E145:M145))</f>
        <v>7381.8181818181811</v>
      </c>
      <c r="O145" s="184">
        <f t="shared" si="1"/>
        <v>450</v>
      </c>
      <c r="P145" s="168">
        <f t="shared" si="13"/>
        <v>260.5263157894737</v>
      </c>
      <c r="Q145" s="168">
        <f t="shared" si="14"/>
        <v>2741.666666666667</v>
      </c>
      <c r="R145" s="168">
        <f t="shared" si="15"/>
        <v>3383.3333333333335</v>
      </c>
      <c r="S145" s="168">
        <f t="shared" si="16"/>
        <v>2408.3333333333335</v>
      </c>
      <c r="T145" s="168">
        <f t="shared" si="17"/>
        <v>5791.666666666667</v>
      </c>
      <c r="U145" s="168">
        <f t="shared" si="18"/>
        <v>4433.3333333333339</v>
      </c>
      <c r="V145" s="168">
        <f t="shared" si="19"/>
        <v>5308.3333333333339</v>
      </c>
      <c r="W145" s="168">
        <f t="shared" si="20"/>
        <v>7016.666666666667</v>
      </c>
      <c r="X145" s="168">
        <f t="shared" si="21"/>
        <v>6558.3333333333339</v>
      </c>
      <c r="Y145" s="168">
        <f t="shared" si="22"/>
        <v>7500</v>
      </c>
      <c r="Z145" s="190">
        <f t="array" ref="Z145">MIN(IF(Q145:Y145&gt;P145,Q145:Y145))</f>
        <v>2408.3333333333335</v>
      </c>
      <c r="AA145" s="184">
        <f t="shared" si="2"/>
        <v>450</v>
      </c>
      <c r="AB145" s="168">
        <f t="shared" si="23"/>
        <v>7381.8181818181811</v>
      </c>
      <c r="AC145" s="187" t="str">
        <f t="shared" si="24"/>
        <v/>
      </c>
      <c r="AD145" s="187" t="str">
        <f t="shared" si="25"/>
        <v/>
      </c>
      <c r="AE145" s="187" t="str">
        <f t="shared" si="26"/>
        <v/>
      </c>
      <c r="AF145" s="187" t="str">
        <f t="shared" si="27"/>
        <v>Casing 4</v>
      </c>
      <c r="AG145" s="187" t="str">
        <f t="shared" si="34"/>
        <v/>
      </c>
      <c r="AH145" s="187" t="str">
        <f t="shared" si="28"/>
        <v/>
      </c>
      <c r="AI145" s="187" t="str">
        <f t="shared" si="29"/>
        <v/>
      </c>
      <c r="AJ145" s="187" t="str">
        <f t="shared" si="30"/>
        <v/>
      </c>
      <c r="AK145" s="187" t="str">
        <f t="shared" si="31"/>
        <v/>
      </c>
      <c r="AL145" s="187" t="str">
        <f t="shared" si="38"/>
        <v>Casing 4</v>
      </c>
      <c r="AM145" s="193">
        <f t="shared" si="35"/>
        <v>12.763</v>
      </c>
      <c r="AN145" s="194">
        <f t="shared" si="36"/>
        <v>80000</v>
      </c>
      <c r="AO145" s="194">
        <f t="shared" si="37"/>
        <v>1066000</v>
      </c>
      <c r="AP145" s="189">
        <f t="shared" si="39"/>
        <v>3.3630707174030716</v>
      </c>
      <c r="AQ145" s="189">
        <f t="shared" si="40"/>
        <v>3.5111586076467858</v>
      </c>
      <c r="BE145" s="12"/>
    </row>
    <row r="146" spans="1:57">
      <c r="A146" s="184">
        <f t="shared" si="0"/>
        <v>495</v>
      </c>
      <c r="B146" s="172">
        <f t="shared" si="32"/>
        <v>302696.7379422448</v>
      </c>
      <c r="C146" s="181">
        <f t="shared" si="33"/>
        <v>495</v>
      </c>
      <c r="D146" s="168">
        <f t="shared" si="3"/>
        <v>6830.6578947368425</v>
      </c>
      <c r="E146" s="168">
        <f t="shared" si="4"/>
        <v>3963.6363636363635</v>
      </c>
      <c r="F146" s="168">
        <f t="shared" si="5"/>
        <v>4527.272727272727</v>
      </c>
      <c r="G146" s="168">
        <f t="shared" si="6"/>
        <v>3763.6363636363635</v>
      </c>
      <c r="H146" s="168">
        <f t="shared" si="7"/>
        <v>7381.8181818181811</v>
      </c>
      <c r="I146" s="168">
        <f t="shared" si="8"/>
        <v>6581.8181818181811</v>
      </c>
      <c r="J146" s="168">
        <f t="shared" si="9"/>
        <v>7418.181818181818</v>
      </c>
      <c r="K146" s="168">
        <f t="shared" si="10"/>
        <v>9054.545454545454</v>
      </c>
      <c r="L146" s="168">
        <f t="shared" si="11"/>
        <v>9872.7272727272721</v>
      </c>
      <c r="M146" s="168">
        <f t="shared" si="12"/>
        <v>10909.090909090908</v>
      </c>
      <c r="N146" s="168">
        <f t="array" ref="N146">MIN(IF(E146:M146&gt;D146,E146:M146))</f>
        <v>7381.8181818181811</v>
      </c>
      <c r="O146" s="184">
        <f t="shared" si="1"/>
        <v>495</v>
      </c>
      <c r="P146" s="168">
        <f t="shared" si="13"/>
        <v>286.57894736842104</v>
      </c>
      <c r="Q146" s="168">
        <f t="shared" si="14"/>
        <v>2741.666666666667</v>
      </c>
      <c r="R146" s="168">
        <f t="shared" si="15"/>
        <v>3383.3333333333335</v>
      </c>
      <c r="S146" s="168">
        <f t="shared" si="16"/>
        <v>2408.3333333333335</v>
      </c>
      <c r="T146" s="168">
        <f t="shared" si="17"/>
        <v>5791.666666666667</v>
      </c>
      <c r="U146" s="168">
        <f t="shared" si="18"/>
        <v>4433.3333333333339</v>
      </c>
      <c r="V146" s="168">
        <f t="shared" si="19"/>
        <v>5308.3333333333339</v>
      </c>
      <c r="W146" s="168">
        <f t="shared" si="20"/>
        <v>7016.666666666667</v>
      </c>
      <c r="X146" s="168">
        <f t="shared" si="21"/>
        <v>6558.3333333333339</v>
      </c>
      <c r="Y146" s="168">
        <f t="shared" si="22"/>
        <v>7500</v>
      </c>
      <c r="Z146" s="190">
        <f t="array" ref="Z146">MIN(IF(Q146:Y146&gt;P146,Q146:Y146))</f>
        <v>2408.3333333333335</v>
      </c>
      <c r="AA146" s="184">
        <f t="shared" si="2"/>
        <v>495</v>
      </c>
      <c r="AB146" s="168">
        <f t="shared" si="23"/>
        <v>7381.8181818181811</v>
      </c>
      <c r="AC146" s="187" t="str">
        <f t="shared" si="24"/>
        <v/>
      </c>
      <c r="AD146" s="187" t="str">
        <f t="shared" si="25"/>
        <v/>
      </c>
      <c r="AE146" s="187" t="str">
        <f t="shared" si="26"/>
        <v/>
      </c>
      <c r="AF146" s="187" t="str">
        <f t="shared" si="27"/>
        <v>Casing 4</v>
      </c>
      <c r="AG146" s="187" t="str">
        <f t="shared" si="34"/>
        <v/>
      </c>
      <c r="AH146" s="187" t="str">
        <f t="shared" si="28"/>
        <v/>
      </c>
      <c r="AI146" s="187" t="str">
        <f t="shared" si="29"/>
        <v/>
      </c>
      <c r="AJ146" s="187" t="str">
        <f t="shared" si="30"/>
        <v/>
      </c>
      <c r="AK146" s="187" t="str">
        <f t="shared" si="31"/>
        <v/>
      </c>
      <c r="AL146" s="187" t="str">
        <f t="shared" si="38"/>
        <v>Casing 4</v>
      </c>
      <c r="AM146" s="193">
        <f t="shared" si="35"/>
        <v>12.763</v>
      </c>
      <c r="AN146" s="194">
        <f t="shared" si="36"/>
        <v>80000</v>
      </c>
      <c r="AO146" s="194">
        <f t="shared" si="37"/>
        <v>1066000</v>
      </c>
      <c r="AP146" s="189">
        <f t="shared" si="39"/>
        <v>3.373145039292814</v>
      </c>
      <c r="AQ146" s="189">
        <f t="shared" si="40"/>
        <v>3.5216765375363748</v>
      </c>
      <c r="BE146" s="12"/>
    </row>
    <row r="147" spans="1:57">
      <c r="A147" s="184">
        <f t="shared" si="0"/>
        <v>540</v>
      </c>
      <c r="B147" s="172">
        <f t="shared" si="32"/>
        <v>301789.9879422448</v>
      </c>
      <c r="C147" s="181">
        <f t="shared" si="33"/>
        <v>540</v>
      </c>
      <c r="D147" s="168">
        <f t="shared" si="3"/>
        <v>6815.2631578947367</v>
      </c>
      <c r="E147" s="168">
        <f t="shared" si="4"/>
        <v>3963.6363636363635</v>
      </c>
      <c r="F147" s="168">
        <f t="shared" si="5"/>
        <v>4527.272727272727</v>
      </c>
      <c r="G147" s="168">
        <f t="shared" si="6"/>
        <v>3763.6363636363635</v>
      </c>
      <c r="H147" s="168">
        <f t="shared" si="7"/>
        <v>7381.8181818181811</v>
      </c>
      <c r="I147" s="168">
        <f t="shared" si="8"/>
        <v>6581.8181818181811</v>
      </c>
      <c r="J147" s="168">
        <f t="shared" si="9"/>
        <v>7418.181818181818</v>
      </c>
      <c r="K147" s="168">
        <f t="shared" si="10"/>
        <v>9054.545454545454</v>
      </c>
      <c r="L147" s="168">
        <f t="shared" si="11"/>
        <v>9872.7272727272721</v>
      </c>
      <c r="M147" s="168">
        <f t="shared" si="12"/>
        <v>10909.090909090908</v>
      </c>
      <c r="N147" s="168">
        <f t="array" ref="N147">MIN(IF(E147:M147&gt;D147,E147:M147))</f>
        <v>7381.8181818181811</v>
      </c>
      <c r="O147" s="184">
        <f t="shared" si="1"/>
        <v>540</v>
      </c>
      <c r="P147" s="168">
        <f t="shared" si="13"/>
        <v>312.63157894736844</v>
      </c>
      <c r="Q147" s="168">
        <f t="shared" si="14"/>
        <v>2741.666666666667</v>
      </c>
      <c r="R147" s="168">
        <f t="shared" si="15"/>
        <v>3383.3333333333335</v>
      </c>
      <c r="S147" s="168">
        <f t="shared" si="16"/>
        <v>2408.3333333333335</v>
      </c>
      <c r="T147" s="168">
        <f t="shared" si="17"/>
        <v>5791.666666666667</v>
      </c>
      <c r="U147" s="168">
        <f t="shared" si="18"/>
        <v>4433.3333333333339</v>
      </c>
      <c r="V147" s="168">
        <f t="shared" si="19"/>
        <v>5308.3333333333339</v>
      </c>
      <c r="W147" s="168">
        <f t="shared" si="20"/>
        <v>7016.666666666667</v>
      </c>
      <c r="X147" s="168">
        <f t="shared" si="21"/>
        <v>6558.3333333333339</v>
      </c>
      <c r="Y147" s="168">
        <f t="shared" si="22"/>
        <v>7500</v>
      </c>
      <c r="Z147" s="190">
        <f t="array" ref="Z147">MIN(IF(Q147:Y147&gt;P147,Q147:Y147))</f>
        <v>2408.3333333333335</v>
      </c>
      <c r="AA147" s="184">
        <f t="shared" si="2"/>
        <v>540</v>
      </c>
      <c r="AB147" s="168">
        <f t="shared" si="23"/>
        <v>7381.8181818181811</v>
      </c>
      <c r="AC147" s="187" t="str">
        <f t="shared" si="24"/>
        <v/>
      </c>
      <c r="AD147" s="187" t="str">
        <f t="shared" si="25"/>
        <v/>
      </c>
      <c r="AE147" s="187" t="str">
        <f t="shared" si="26"/>
        <v/>
      </c>
      <c r="AF147" s="187" t="str">
        <f t="shared" si="27"/>
        <v>Casing 4</v>
      </c>
      <c r="AG147" s="187" t="str">
        <f t="shared" si="34"/>
        <v/>
      </c>
      <c r="AH147" s="187" t="str">
        <f t="shared" si="28"/>
        <v/>
      </c>
      <c r="AI147" s="187" t="str">
        <f t="shared" si="29"/>
        <v/>
      </c>
      <c r="AJ147" s="187" t="str">
        <f t="shared" si="30"/>
        <v/>
      </c>
      <c r="AK147" s="187" t="str">
        <f t="shared" si="31"/>
        <v/>
      </c>
      <c r="AL147" s="187" t="str">
        <f t="shared" si="38"/>
        <v>Casing 4</v>
      </c>
      <c r="AM147" s="193">
        <f t="shared" si="35"/>
        <v>12.763</v>
      </c>
      <c r="AN147" s="194">
        <f t="shared" si="36"/>
        <v>80000</v>
      </c>
      <c r="AO147" s="194">
        <f t="shared" si="37"/>
        <v>1066000</v>
      </c>
      <c r="AP147" s="189">
        <f t="shared" si="39"/>
        <v>3.3832798992503421</v>
      </c>
      <c r="AQ147" s="189">
        <f t="shared" si="40"/>
        <v>3.5322576711988414</v>
      </c>
      <c r="BE147" s="12"/>
    </row>
    <row r="148" spans="1:57">
      <c r="A148" s="184">
        <f t="shared" si="0"/>
        <v>585</v>
      </c>
      <c r="B148" s="172">
        <f t="shared" si="32"/>
        <v>300883.2379422448</v>
      </c>
      <c r="C148" s="181">
        <f t="shared" si="33"/>
        <v>585</v>
      </c>
      <c r="D148" s="168">
        <f t="shared" si="3"/>
        <v>6799.8684210526317</v>
      </c>
      <c r="E148" s="168">
        <f t="shared" si="4"/>
        <v>3963.6363636363635</v>
      </c>
      <c r="F148" s="168">
        <f t="shared" si="5"/>
        <v>4527.272727272727</v>
      </c>
      <c r="G148" s="168">
        <f t="shared" si="6"/>
        <v>3763.6363636363635</v>
      </c>
      <c r="H148" s="168">
        <f t="shared" si="7"/>
        <v>7381.8181818181811</v>
      </c>
      <c r="I148" s="168">
        <f t="shared" si="8"/>
        <v>6581.8181818181811</v>
      </c>
      <c r="J148" s="168">
        <f t="shared" si="9"/>
        <v>7418.181818181818</v>
      </c>
      <c r="K148" s="168">
        <f t="shared" si="10"/>
        <v>9054.545454545454</v>
      </c>
      <c r="L148" s="168">
        <f t="shared" si="11"/>
        <v>9872.7272727272721</v>
      </c>
      <c r="M148" s="168">
        <f t="shared" si="12"/>
        <v>10909.090909090908</v>
      </c>
      <c r="N148" s="168">
        <f t="array" ref="N148">MIN(IF(E148:M148&gt;D148,E148:M148))</f>
        <v>7381.8181818181811</v>
      </c>
      <c r="O148" s="184">
        <f t="shared" si="1"/>
        <v>585</v>
      </c>
      <c r="P148" s="168">
        <f t="shared" si="13"/>
        <v>338.68421052631578</v>
      </c>
      <c r="Q148" s="168">
        <f t="shared" si="14"/>
        <v>2741.666666666667</v>
      </c>
      <c r="R148" s="168">
        <f t="shared" si="15"/>
        <v>3383.3333333333335</v>
      </c>
      <c r="S148" s="168">
        <f t="shared" si="16"/>
        <v>2408.3333333333335</v>
      </c>
      <c r="T148" s="168">
        <f t="shared" si="17"/>
        <v>5791.666666666667</v>
      </c>
      <c r="U148" s="168">
        <f t="shared" si="18"/>
        <v>4433.3333333333339</v>
      </c>
      <c r="V148" s="168">
        <f t="shared" si="19"/>
        <v>5308.3333333333339</v>
      </c>
      <c r="W148" s="168">
        <f t="shared" si="20"/>
        <v>7016.666666666667</v>
      </c>
      <c r="X148" s="168">
        <f t="shared" si="21"/>
        <v>6558.3333333333339</v>
      </c>
      <c r="Y148" s="168">
        <f t="shared" si="22"/>
        <v>7500</v>
      </c>
      <c r="Z148" s="190">
        <f t="array" ref="Z148">MIN(IF(Q148:Y148&gt;P148,Q148:Y148))</f>
        <v>2408.3333333333335</v>
      </c>
      <c r="AA148" s="184">
        <f t="shared" si="2"/>
        <v>585</v>
      </c>
      <c r="AB148" s="168">
        <f t="shared" si="23"/>
        <v>7381.8181818181811</v>
      </c>
      <c r="AC148" s="187" t="str">
        <f t="shared" si="24"/>
        <v/>
      </c>
      <c r="AD148" s="187" t="str">
        <f t="shared" si="25"/>
        <v/>
      </c>
      <c r="AE148" s="187" t="str">
        <f t="shared" si="26"/>
        <v/>
      </c>
      <c r="AF148" s="187" t="str">
        <f t="shared" si="27"/>
        <v>Casing 4</v>
      </c>
      <c r="AG148" s="187" t="str">
        <f t="shared" si="34"/>
        <v/>
      </c>
      <c r="AH148" s="187" t="str">
        <f t="shared" si="28"/>
        <v/>
      </c>
      <c r="AI148" s="187" t="str">
        <f t="shared" si="29"/>
        <v/>
      </c>
      <c r="AJ148" s="187" t="str">
        <f t="shared" si="30"/>
        <v/>
      </c>
      <c r="AK148" s="187" t="str">
        <f t="shared" si="31"/>
        <v/>
      </c>
      <c r="AL148" s="187" t="str">
        <f t="shared" si="38"/>
        <v>Casing 4</v>
      </c>
      <c r="AM148" s="193">
        <f t="shared" si="35"/>
        <v>12.763</v>
      </c>
      <c r="AN148" s="194">
        <f t="shared" si="36"/>
        <v>80000</v>
      </c>
      <c r="AO148" s="194">
        <f t="shared" si="37"/>
        <v>1066000</v>
      </c>
      <c r="AP148" s="189">
        <f t="shared" si="39"/>
        <v>3.3934758445932136</v>
      </c>
      <c r="AQ148" s="189">
        <f t="shared" si="40"/>
        <v>3.5429025800520701</v>
      </c>
      <c r="BE148" s="12"/>
    </row>
    <row r="149" spans="1:57">
      <c r="A149" s="184">
        <f t="shared" si="0"/>
        <v>630</v>
      </c>
      <c r="B149" s="172">
        <f t="shared" si="32"/>
        <v>299976.4879422448</v>
      </c>
      <c r="C149" s="181">
        <f t="shared" si="33"/>
        <v>630</v>
      </c>
      <c r="D149" s="168">
        <f t="shared" si="3"/>
        <v>6784.4736842105267</v>
      </c>
      <c r="E149" s="168">
        <f t="shared" si="4"/>
        <v>3963.6363636363635</v>
      </c>
      <c r="F149" s="168">
        <f t="shared" si="5"/>
        <v>4527.272727272727</v>
      </c>
      <c r="G149" s="168">
        <f t="shared" si="6"/>
        <v>3763.6363636363635</v>
      </c>
      <c r="H149" s="168">
        <f t="shared" si="7"/>
        <v>7381.8181818181811</v>
      </c>
      <c r="I149" s="168">
        <f t="shared" si="8"/>
        <v>6581.8181818181811</v>
      </c>
      <c r="J149" s="168">
        <f t="shared" si="9"/>
        <v>7418.181818181818</v>
      </c>
      <c r="K149" s="168">
        <f t="shared" si="10"/>
        <v>9054.545454545454</v>
      </c>
      <c r="L149" s="168">
        <f t="shared" si="11"/>
        <v>9872.7272727272721</v>
      </c>
      <c r="M149" s="168">
        <f t="shared" si="12"/>
        <v>10909.090909090908</v>
      </c>
      <c r="N149" s="168">
        <f t="array" ref="N149">MIN(IF(E149:M149&gt;D149,E149:M149))</f>
        <v>7381.8181818181811</v>
      </c>
      <c r="O149" s="184">
        <f t="shared" si="1"/>
        <v>630</v>
      </c>
      <c r="P149" s="168">
        <f t="shared" si="13"/>
        <v>364.73684210526318</v>
      </c>
      <c r="Q149" s="168">
        <f t="shared" si="14"/>
        <v>2741.666666666667</v>
      </c>
      <c r="R149" s="168">
        <f t="shared" si="15"/>
        <v>3383.3333333333335</v>
      </c>
      <c r="S149" s="168">
        <f t="shared" si="16"/>
        <v>2408.3333333333335</v>
      </c>
      <c r="T149" s="168">
        <f t="shared" si="17"/>
        <v>5791.666666666667</v>
      </c>
      <c r="U149" s="168">
        <f t="shared" si="18"/>
        <v>4433.3333333333339</v>
      </c>
      <c r="V149" s="168">
        <f t="shared" si="19"/>
        <v>5308.3333333333339</v>
      </c>
      <c r="W149" s="168">
        <f t="shared" si="20"/>
        <v>7016.666666666667</v>
      </c>
      <c r="X149" s="168">
        <f t="shared" si="21"/>
        <v>6558.3333333333339</v>
      </c>
      <c r="Y149" s="168">
        <f t="shared" si="22"/>
        <v>7500</v>
      </c>
      <c r="Z149" s="190">
        <f t="array" ref="Z149">MIN(IF(Q149:Y149&gt;P149,Q149:Y149))</f>
        <v>2408.3333333333335</v>
      </c>
      <c r="AA149" s="184">
        <f t="shared" si="2"/>
        <v>630</v>
      </c>
      <c r="AB149" s="168">
        <f t="shared" si="23"/>
        <v>7381.8181818181811</v>
      </c>
      <c r="AC149" s="187" t="str">
        <f t="shared" si="24"/>
        <v/>
      </c>
      <c r="AD149" s="187" t="str">
        <f t="shared" si="25"/>
        <v/>
      </c>
      <c r="AE149" s="187" t="str">
        <f t="shared" si="26"/>
        <v/>
      </c>
      <c r="AF149" s="187" t="str">
        <f t="shared" si="27"/>
        <v>Casing 4</v>
      </c>
      <c r="AG149" s="187" t="str">
        <f t="shared" si="34"/>
        <v/>
      </c>
      <c r="AH149" s="187" t="str">
        <f t="shared" si="28"/>
        <v/>
      </c>
      <c r="AI149" s="187" t="str">
        <f t="shared" si="29"/>
        <v/>
      </c>
      <c r="AJ149" s="187" t="str">
        <f t="shared" si="30"/>
        <v/>
      </c>
      <c r="AK149" s="187" t="str">
        <f t="shared" si="31"/>
        <v/>
      </c>
      <c r="AL149" s="187" t="str">
        <f t="shared" si="38"/>
        <v>Casing 4</v>
      </c>
      <c r="AM149" s="193">
        <f t="shared" si="35"/>
        <v>12.763</v>
      </c>
      <c r="AN149" s="194">
        <f t="shared" si="36"/>
        <v>80000</v>
      </c>
      <c r="AO149" s="194">
        <f t="shared" si="37"/>
        <v>1066000</v>
      </c>
      <c r="AP149" s="189">
        <f t="shared" si="39"/>
        <v>3.4037334292565733</v>
      </c>
      <c r="AQ149" s="189">
        <f t="shared" si="40"/>
        <v>3.5536118424229288</v>
      </c>
      <c r="BE149" s="12"/>
    </row>
    <row r="150" spans="1:57">
      <c r="A150" s="184">
        <f t="shared" si="0"/>
        <v>675</v>
      </c>
      <c r="B150" s="172">
        <f t="shared" si="32"/>
        <v>299069.7379422448</v>
      </c>
      <c r="C150" s="181">
        <f t="shared" si="33"/>
        <v>675</v>
      </c>
      <c r="D150" s="168">
        <f t="shared" si="3"/>
        <v>6769.0789473684208</v>
      </c>
      <c r="E150" s="168">
        <f t="shared" si="4"/>
        <v>3963.6363636363635</v>
      </c>
      <c r="F150" s="168">
        <f t="shared" si="5"/>
        <v>4527.272727272727</v>
      </c>
      <c r="G150" s="168">
        <f t="shared" si="6"/>
        <v>3763.6363636363635</v>
      </c>
      <c r="H150" s="168">
        <f t="shared" si="7"/>
        <v>7381.8181818181811</v>
      </c>
      <c r="I150" s="168">
        <f t="shared" si="8"/>
        <v>6581.8181818181811</v>
      </c>
      <c r="J150" s="168">
        <f t="shared" si="9"/>
        <v>7418.181818181818</v>
      </c>
      <c r="K150" s="168">
        <f t="shared" si="10"/>
        <v>9054.545454545454</v>
      </c>
      <c r="L150" s="168">
        <f t="shared" si="11"/>
        <v>9872.7272727272721</v>
      </c>
      <c r="M150" s="168">
        <f t="shared" si="12"/>
        <v>10909.090909090908</v>
      </c>
      <c r="N150" s="168">
        <f t="array" ref="N150">MIN(IF(E150:M150&gt;D150,E150:M150))</f>
        <v>7381.8181818181811</v>
      </c>
      <c r="O150" s="184">
        <f t="shared" si="1"/>
        <v>675</v>
      </c>
      <c r="P150" s="168">
        <f t="shared" si="13"/>
        <v>390.78947368421052</v>
      </c>
      <c r="Q150" s="168">
        <f t="shared" si="14"/>
        <v>2741.666666666667</v>
      </c>
      <c r="R150" s="168">
        <f t="shared" si="15"/>
        <v>3383.3333333333335</v>
      </c>
      <c r="S150" s="168">
        <f t="shared" si="16"/>
        <v>2408.3333333333335</v>
      </c>
      <c r="T150" s="168">
        <f t="shared" si="17"/>
        <v>5791.666666666667</v>
      </c>
      <c r="U150" s="168">
        <f t="shared" si="18"/>
        <v>4433.3333333333339</v>
      </c>
      <c r="V150" s="168">
        <f t="shared" si="19"/>
        <v>5308.3333333333339</v>
      </c>
      <c r="W150" s="168">
        <f t="shared" si="20"/>
        <v>7016.666666666667</v>
      </c>
      <c r="X150" s="168">
        <f t="shared" si="21"/>
        <v>6558.3333333333339</v>
      </c>
      <c r="Y150" s="168">
        <f t="shared" si="22"/>
        <v>7500</v>
      </c>
      <c r="Z150" s="190">
        <f t="array" ref="Z150">MIN(IF(Q150:Y150&gt;P150,Q150:Y150))</f>
        <v>2408.3333333333335</v>
      </c>
      <c r="AA150" s="184">
        <f t="shared" si="2"/>
        <v>675</v>
      </c>
      <c r="AB150" s="168">
        <f t="shared" si="23"/>
        <v>7381.8181818181811</v>
      </c>
      <c r="AC150" s="187" t="str">
        <f t="shared" si="24"/>
        <v/>
      </c>
      <c r="AD150" s="187" t="str">
        <f t="shared" si="25"/>
        <v/>
      </c>
      <c r="AE150" s="187" t="str">
        <f t="shared" si="26"/>
        <v/>
      </c>
      <c r="AF150" s="187" t="str">
        <f t="shared" si="27"/>
        <v>Casing 4</v>
      </c>
      <c r="AG150" s="187" t="str">
        <f t="shared" si="34"/>
        <v/>
      </c>
      <c r="AH150" s="187" t="str">
        <f t="shared" si="28"/>
        <v/>
      </c>
      <c r="AI150" s="187" t="str">
        <f t="shared" si="29"/>
        <v/>
      </c>
      <c r="AJ150" s="187" t="str">
        <f t="shared" si="30"/>
        <v/>
      </c>
      <c r="AK150" s="187" t="str">
        <f t="shared" si="31"/>
        <v/>
      </c>
      <c r="AL150" s="187" t="str">
        <f t="shared" si="38"/>
        <v>Casing 4</v>
      </c>
      <c r="AM150" s="193">
        <f t="shared" si="35"/>
        <v>12.763</v>
      </c>
      <c r="AN150" s="194">
        <f t="shared" si="36"/>
        <v>80000</v>
      </c>
      <c r="AO150" s="194">
        <f t="shared" si="37"/>
        <v>1066000</v>
      </c>
      <c r="AP150" s="189">
        <f t="shared" si="39"/>
        <v>3.4140532138934745</v>
      </c>
      <c r="AQ150" s="189">
        <f t="shared" si="40"/>
        <v>3.5643860436520054</v>
      </c>
      <c r="BE150" s="12"/>
    </row>
    <row r="151" spans="1:57">
      <c r="A151" s="184">
        <f t="shared" si="0"/>
        <v>720</v>
      </c>
      <c r="B151" s="172">
        <f t="shared" si="32"/>
        <v>298162.9879422448</v>
      </c>
      <c r="C151" s="181">
        <f t="shared" si="33"/>
        <v>720</v>
      </c>
      <c r="D151" s="168">
        <f t="shared" si="3"/>
        <v>6753.6842105263158</v>
      </c>
      <c r="E151" s="168">
        <f t="shared" si="4"/>
        <v>3963.6363636363635</v>
      </c>
      <c r="F151" s="168">
        <f t="shared" si="5"/>
        <v>4527.272727272727</v>
      </c>
      <c r="G151" s="168">
        <f t="shared" si="6"/>
        <v>3763.6363636363635</v>
      </c>
      <c r="H151" s="168">
        <f t="shared" si="7"/>
        <v>7381.8181818181811</v>
      </c>
      <c r="I151" s="168">
        <f t="shared" si="8"/>
        <v>6581.8181818181811</v>
      </c>
      <c r="J151" s="168">
        <f t="shared" si="9"/>
        <v>7418.181818181818</v>
      </c>
      <c r="K151" s="168">
        <f t="shared" si="10"/>
        <v>9054.545454545454</v>
      </c>
      <c r="L151" s="168">
        <f t="shared" si="11"/>
        <v>9872.7272727272721</v>
      </c>
      <c r="M151" s="168">
        <f t="shared" si="12"/>
        <v>10909.090909090908</v>
      </c>
      <c r="N151" s="168">
        <f t="array" ref="N151">MIN(IF(E151:M151&gt;D151,E151:M151))</f>
        <v>7381.8181818181811</v>
      </c>
      <c r="O151" s="184">
        <f t="shared" si="1"/>
        <v>720</v>
      </c>
      <c r="P151" s="168">
        <f t="shared" si="13"/>
        <v>416.84210526315792</v>
      </c>
      <c r="Q151" s="168">
        <f t="shared" si="14"/>
        <v>2741.666666666667</v>
      </c>
      <c r="R151" s="168">
        <f t="shared" si="15"/>
        <v>3383.3333333333335</v>
      </c>
      <c r="S151" s="168">
        <f t="shared" si="16"/>
        <v>2408.3333333333335</v>
      </c>
      <c r="T151" s="168">
        <f t="shared" si="17"/>
        <v>5791.666666666667</v>
      </c>
      <c r="U151" s="168">
        <f t="shared" si="18"/>
        <v>4433.3333333333339</v>
      </c>
      <c r="V151" s="168">
        <f t="shared" si="19"/>
        <v>5308.3333333333339</v>
      </c>
      <c r="W151" s="168">
        <f t="shared" si="20"/>
        <v>7016.666666666667</v>
      </c>
      <c r="X151" s="168">
        <f t="shared" si="21"/>
        <v>6558.3333333333339</v>
      </c>
      <c r="Y151" s="168">
        <f t="shared" si="22"/>
        <v>7500</v>
      </c>
      <c r="Z151" s="190">
        <f t="array" ref="Z151">MIN(IF(Q151:Y151&gt;P151,Q151:Y151))</f>
        <v>2408.3333333333335</v>
      </c>
      <c r="AA151" s="184">
        <f t="shared" si="2"/>
        <v>720</v>
      </c>
      <c r="AB151" s="168">
        <f t="shared" si="23"/>
        <v>7381.8181818181811</v>
      </c>
      <c r="AC151" s="187" t="str">
        <f t="shared" si="24"/>
        <v/>
      </c>
      <c r="AD151" s="187" t="str">
        <f t="shared" si="25"/>
        <v/>
      </c>
      <c r="AE151" s="187" t="str">
        <f t="shared" si="26"/>
        <v/>
      </c>
      <c r="AF151" s="187" t="str">
        <f t="shared" si="27"/>
        <v>Casing 4</v>
      </c>
      <c r="AG151" s="187" t="str">
        <f t="shared" si="34"/>
        <v/>
      </c>
      <c r="AH151" s="187" t="str">
        <f t="shared" si="28"/>
        <v/>
      </c>
      <c r="AI151" s="187" t="str">
        <f t="shared" si="29"/>
        <v/>
      </c>
      <c r="AJ151" s="187" t="str">
        <f t="shared" si="30"/>
        <v/>
      </c>
      <c r="AK151" s="187" t="str">
        <f t="shared" si="31"/>
        <v/>
      </c>
      <c r="AL151" s="187" t="str">
        <f t="shared" si="38"/>
        <v>Casing 4</v>
      </c>
      <c r="AM151" s="193">
        <f t="shared" si="35"/>
        <v>12.763</v>
      </c>
      <c r="AN151" s="194">
        <f t="shared" si="36"/>
        <v>80000</v>
      </c>
      <c r="AO151" s="194">
        <f t="shared" si="37"/>
        <v>1066000</v>
      </c>
      <c r="AP151" s="189">
        <f t="shared" si="39"/>
        <v>3.4244357659770266</v>
      </c>
      <c r="AQ151" s="189">
        <f t="shared" si="40"/>
        <v>3.5752257762002571</v>
      </c>
      <c r="BE151" s="12"/>
    </row>
    <row r="152" spans="1:57">
      <c r="A152" s="184">
        <f t="shared" si="0"/>
        <v>765</v>
      </c>
      <c r="B152" s="172">
        <f t="shared" si="32"/>
        <v>297256.2379422448</v>
      </c>
      <c r="C152" s="181">
        <f t="shared" si="33"/>
        <v>765</v>
      </c>
      <c r="D152" s="168">
        <f t="shared" si="3"/>
        <v>6738.2894736842109</v>
      </c>
      <c r="E152" s="168">
        <f t="shared" si="4"/>
        <v>3963.6363636363635</v>
      </c>
      <c r="F152" s="168">
        <f t="shared" si="5"/>
        <v>4527.272727272727</v>
      </c>
      <c r="G152" s="168">
        <f t="shared" si="6"/>
        <v>3763.6363636363635</v>
      </c>
      <c r="H152" s="168">
        <f t="shared" si="7"/>
        <v>7381.8181818181811</v>
      </c>
      <c r="I152" s="168">
        <f t="shared" si="8"/>
        <v>6581.8181818181811</v>
      </c>
      <c r="J152" s="168">
        <f t="shared" si="9"/>
        <v>7418.181818181818</v>
      </c>
      <c r="K152" s="168">
        <f t="shared" si="10"/>
        <v>9054.545454545454</v>
      </c>
      <c r="L152" s="168">
        <f t="shared" si="11"/>
        <v>9872.7272727272721</v>
      </c>
      <c r="M152" s="168">
        <f t="shared" si="12"/>
        <v>10909.090909090908</v>
      </c>
      <c r="N152" s="168">
        <f t="array" ref="N152">MIN(IF(E152:M152&gt;D152,E152:M152))</f>
        <v>7381.8181818181811</v>
      </c>
      <c r="O152" s="184">
        <f t="shared" si="1"/>
        <v>765</v>
      </c>
      <c r="P152" s="168">
        <f t="shared" si="13"/>
        <v>442.89473684210526</v>
      </c>
      <c r="Q152" s="168">
        <f t="shared" si="14"/>
        <v>2741.666666666667</v>
      </c>
      <c r="R152" s="168">
        <f t="shared" si="15"/>
        <v>3383.3333333333335</v>
      </c>
      <c r="S152" s="168">
        <f t="shared" si="16"/>
        <v>2408.3333333333335</v>
      </c>
      <c r="T152" s="168">
        <f t="shared" si="17"/>
        <v>5791.666666666667</v>
      </c>
      <c r="U152" s="168">
        <f t="shared" si="18"/>
        <v>4433.3333333333339</v>
      </c>
      <c r="V152" s="168">
        <f t="shared" si="19"/>
        <v>5308.3333333333339</v>
      </c>
      <c r="W152" s="168">
        <f t="shared" si="20"/>
        <v>7016.666666666667</v>
      </c>
      <c r="X152" s="168">
        <f t="shared" si="21"/>
        <v>6558.3333333333339</v>
      </c>
      <c r="Y152" s="168">
        <f t="shared" si="22"/>
        <v>7500</v>
      </c>
      <c r="Z152" s="190">
        <f t="array" ref="Z152">MIN(IF(Q152:Y152&gt;P152,Q152:Y152))</f>
        <v>2408.3333333333335</v>
      </c>
      <c r="AA152" s="184">
        <f t="shared" si="2"/>
        <v>765</v>
      </c>
      <c r="AB152" s="168">
        <f t="shared" si="23"/>
        <v>7381.8181818181811</v>
      </c>
      <c r="AC152" s="187" t="str">
        <f t="shared" si="24"/>
        <v/>
      </c>
      <c r="AD152" s="187" t="str">
        <f t="shared" si="25"/>
        <v/>
      </c>
      <c r="AE152" s="187" t="str">
        <f t="shared" si="26"/>
        <v/>
      </c>
      <c r="AF152" s="187" t="str">
        <f t="shared" si="27"/>
        <v>Casing 4</v>
      </c>
      <c r="AG152" s="187" t="str">
        <f t="shared" si="34"/>
        <v/>
      </c>
      <c r="AH152" s="187" t="str">
        <f t="shared" si="28"/>
        <v/>
      </c>
      <c r="AI152" s="187" t="str">
        <f t="shared" si="29"/>
        <v/>
      </c>
      <c r="AJ152" s="187" t="str">
        <f t="shared" si="30"/>
        <v/>
      </c>
      <c r="AK152" s="187" t="str">
        <f t="shared" si="31"/>
        <v/>
      </c>
      <c r="AL152" s="187" t="str">
        <f t="shared" si="38"/>
        <v>Casing 4</v>
      </c>
      <c r="AM152" s="193">
        <f t="shared" si="35"/>
        <v>12.763</v>
      </c>
      <c r="AN152" s="194">
        <f t="shared" si="36"/>
        <v>80000</v>
      </c>
      <c r="AO152" s="194">
        <f t="shared" si="37"/>
        <v>1066000</v>
      </c>
      <c r="AP152" s="189">
        <f t="shared" si="39"/>
        <v>3.4348816599044163</v>
      </c>
      <c r="AQ152" s="189">
        <f t="shared" si="40"/>
        <v>3.5861316397576077</v>
      </c>
      <c r="BE152" s="12"/>
    </row>
    <row r="153" spans="1:57">
      <c r="A153" s="184">
        <f t="shared" si="0"/>
        <v>810</v>
      </c>
      <c r="B153" s="172">
        <f t="shared" si="32"/>
        <v>296349.4879422448</v>
      </c>
      <c r="C153" s="181">
        <f t="shared" si="33"/>
        <v>810</v>
      </c>
      <c r="D153" s="168">
        <f t="shared" si="3"/>
        <v>6722.8947368421059</v>
      </c>
      <c r="E153" s="168">
        <f t="shared" si="4"/>
        <v>3963.6363636363635</v>
      </c>
      <c r="F153" s="168">
        <f t="shared" si="5"/>
        <v>4527.272727272727</v>
      </c>
      <c r="G153" s="168">
        <f t="shared" si="6"/>
        <v>3763.6363636363635</v>
      </c>
      <c r="H153" s="168">
        <f t="shared" si="7"/>
        <v>7381.8181818181811</v>
      </c>
      <c r="I153" s="168">
        <f t="shared" si="8"/>
        <v>6581.8181818181811</v>
      </c>
      <c r="J153" s="168">
        <f t="shared" si="9"/>
        <v>7418.181818181818</v>
      </c>
      <c r="K153" s="168">
        <f t="shared" si="10"/>
        <v>9054.545454545454</v>
      </c>
      <c r="L153" s="168">
        <f t="shared" si="11"/>
        <v>9872.7272727272721</v>
      </c>
      <c r="M153" s="168">
        <f t="shared" si="12"/>
        <v>10909.090909090908</v>
      </c>
      <c r="N153" s="168">
        <f t="array" ref="N153">MIN(IF(E153:M153&gt;D153,E153:M153))</f>
        <v>7381.8181818181811</v>
      </c>
      <c r="O153" s="184">
        <f t="shared" si="1"/>
        <v>810</v>
      </c>
      <c r="P153" s="168">
        <f t="shared" si="13"/>
        <v>468.94736842105266</v>
      </c>
      <c r="Q153" s="168">
        <f t="shared" si="14"/>
        <v>2741.666666666667</v>
      </c>
      <c r="R153" s="168">
        <f t="shared" si="15"/>
        <v>3383.3333333333335</v>
      </c>
      <c r="S153" s="168">
        <f t="shared" si="16"/>
        <v>2408.3333333333335</v>
      </c>
      <c r="T153" s="168">
        <f t="shared" si="17"/>
        <v>5791.666666666667</v>
      </c>
      <c r="U153" s="168">
        <f t="shared" si="18"/>
        <v>4433.3333333333339</v>
      </c>
      <c r="V153" s="168">
        <f t="shared" si="19"/>
        <v>5308.3333333333339</v>
      </c>
      <c r="W153" s="168">
        <f t="shared" si="20"/>
        <v>7016.666666666667</v>
      </c>
      <c r="X153" s="168">
        <f t="shared" si="21"/>
        <v>6558.3333333333339</v>
      </c>
      <c r="Y153" s="168">
        <f t="shared" si="22"/>
        <v>7500</v>
      </c>
      <c r="Z153" s="190">
        <f t="array" ref="Z153">MIN(IF(Q153:Y153&gt;P153,Q153:Y153))</f>
        <v>2408.3333333333335</v>
      </c>
      <c r="AA153" s="184">
        <f t="shared" si="2"/>
        <v>810</v>
      </c>
      <c r="AB153" s="168">
        <f t="shared" si="23"/>
        <v>7381.8181818181811</v>
      </c>
      <c r="AC153" s="187" t="str">
        <f t="shared" si="24"/>
        <v/>
      </c>
      <c r="AD153" s="187" t="str">
        <f t="shared" si="25"/>
        <v/>
      </c>
      <c r="AE153" s="187" t="str">
        <f t="shared" si="26"/>
        <v/>
      </c>
      <c r="AF153" s="187" t="str">
        <f t="shared" si="27"/>
        <v>Casing 4</v>
      </c>
      <c r="AG153" s="187" t="str">
        <f t="shared" si="34"/>
        <v/>
      </c>
      <c r="AH153" s="187" t="str">
        <f t="shared" si="28"/>
        <v/>
      </c>
      <c r="AI153" s="187" t="str">
        <f t="shared" si="29"/>
        <v/>
      </c>
      <c r="AJ153" s="187" t="str">
        <f t="shared" si="30"/>
        <v/>
      </c>
      <c r="AK153" s="187" t="str">
        <f t="shared" si="31"/>
        <v/>
      </c>
      <c r="AL153" s="187" t="str">
        <f t="shared" si="38"/>
        <v>Casing 4</v>
      </c>
      <c r="AM153" s="193">
        <f t="shared" si="35"/>
        <v>12.763</v>
      </c>
      <c r="AN153" s="194">
        <f t="shared" si="36"/>
        <v>80000</v>
      </c>
      <c r="AO153" s="194">
        <f t="shared" si="37"/>
        <v>1066000</v>
      </c>
      <c r="AP153" s="189">
        <f t="shared" si="39"/>
        <v>3.4453914771028362</v>
      </c>
      <c r="AQ153" s="189">
        <f t="shared" si="40"/>
        <v>3.597104241353545</v>
      </c>
      <c r="BE153" s="12"/>
    </row>
    <row r="154" spans="1:57">
      <c r="A154" s="184">
        <f t="shared" si="0"/>
        <v>855</v>
      </c>
      <c r="B154" s="172">
        <f t="shared" si="32"/>
        <v>295442.7379422448</v>
      </c>
      <c r="C154" s="181">
        <f t="shared" si="33"/>
        <v>855</v>
      </c>
      <c r="D154" s="168">
        <f t="shared" si="3"/>
        <v>6707.5</v>
      </c>
      <c r="E154" s="168">
        <f t="shared" si="4"/>
        <v>3963.6363636363635</v>
      </c>
      <c r="F154" s="168">
        <f t="shared" si="5"/>
        <v>4527.272727272727</v>
      </c>
      <c r="G154" s="168">
        <f t="shared" si="6"/>
        <v>3763.6363636363635</v>
      </c>
      <c r="H154" s="168">
        <f t="shared" si="7"/>
        <v>7381.8181818181811</v>
      </c>
      <c r="I154" s="168">
        <f t="shared" si="8"/>
        <v>6581.8181818181811</v>
      </c>
      <c r="J154" s="168">
        <f t="shared" si="9"/>
        <v>7418.181818181818</v>
      </c>
      <c r="K154" s="168">
        <f t="shared" si="10"/>
        <v>9054.545454545454</v>
      </c>
      <c r="L154" s="168">
        <f t="shared" si="11"/>
        <v>9872.7272727272721</v>
      </c>
      <c r="M154" s="168">
        <f t="shared" si="12"/>
        <v>10909.090909090908</v>
      </c>
      <c r="N154" s="168">
        <f t="array" ref="N154">MIN(IF(E154:M154&gt;D154,E154:M154))</f>
        <v>7381.8181818181811</v>
      </c>
      <c r="O154" s="184">
        <f t="shared" si="1"/>
        <v>855</v>
      </c>
      <c r="P154" s="168">
        <f t="shared" si="13"/>
        <v>495</v>
      </c>
      <c r="Q154" s="168">
        <f t="shared" si="14"/>
        <v>2741.666666666667</v>
      </c>
      <c r="R154" s="168">
        <f t="shared" si="15"/>
        <v>3383.3333333333335</v>
      </c>
      <c r="S154" s="168">
        <f t="shared" si="16"/>
        <v>2408.3333333333335</v>
      </c>
      <c r="T154" s="168">
        <f t="shared" si="17"/>
        <v>5791.666666666667</v>
      </c>
      <c r="U154" s="168">
        <f t="shared" si="18"/>
        <v>4433.3333333333339</v>
      </c>
      <c r="V154" s="168">
        <f t="shared" si="19"/>
        <v>5308.3333333333339</v>
      </c>
      <c r="W154" s="168">
        <f t="shared" si="20"/>
        <v>7016.666666666667</v>
      </c>
      <c r="X154" s="168">
        <f t="shared" si="21"/>
        <v>6558.3333333333339</v>
      </c>
      <c r="Y154" s="168">
        <f t="shared" si="22"/>
        <v>7500</v>
      </c>
      <c r="Z154" s="190">
        <f t="array" ref="Z154">MIN(IF(Q154:Y154&gt;P154,Q154:Y154))</f>
        <v>2408.3333333333335</v>
      </c>
      <c r="AA154" s="184">
        <f t="shared" si="2"/>
        <v>855</v>
      </c>
      <c r="AB154" s="168">
        <f t="shared" si="23"/>
        <v>7381.8181818181811</v>
      </c>
      <c r="AC154" s="187" t="str">
        <f t="shared" si="24"/>
        <v/>
      </c>
      <c r="AD154" s="187" t="str">
        <f t="shared" si="25"/>
        <v/>
      </c>
      <c r="AE154" s="187" t="str">
        <f t="shared" si="26"/>
        <v/>
      </c>
      <c r="AF154" s="187" t="str">
        <f t="shared" si="27"/>
        <v>Casing 4</v>
      </c>
      <c r="AG154" s="187" t="str">
        <f t="shared" si="34"/>
        <v/>
      </c>
      <c r="AH154" s="187" t="str">
        <f t="shared" si="28"/>
        <v/>
      </c>
      <c r="AI154" s="187" t="str">
        <f t="shared" si="29"/>
        <v/>
      </c>
      <c r="AJ154" s="187" t="str">
        <f t="shared" si="30"/>
        <v/>
      </c>
      <c r="AK154" s="187" t="str">
        <f t="shared" si="31"/>
        <v/>
      </c>
      <c r="AL154" s="187" t="str">
        <f t="shared" si="38"/>
        <v>Casing 4</v>
      </c>
      <c r="AM154" s="193">
        <f t="shared" si="35"/>
        <v>12.763</v>
      </c>
      <c r="AN154" s="194">
        <f t="shared" si="36"/>
        <v>80000</v>
      </c>
      <c r="AO154" s="194">
        <f t="shared" si="37"/>
        <v>1066000</v>
      </c>
      <c r="AP154" s="189">
        <f t="shared" si="39"/>
        <v>3.4559658061373639</v>
      </c>
      <c r="AQ154" s="189">
        <f t="shared" si="40"/>
        <v>3.6081441954697464</v>
      </c>
      <c r="BE154" s="12"/>
    </row>
    <row r="155" spans="1:57">
      <c r="A155" s="184">
        <f t="shared" si="0"/>
        <v>899.99998136789407</v>
      </c>
      <c r="B155" s="172">
        <f t="shared" si="32"/>
        <v>294535.9879422448</v>
      </c>
      <c r="C155" s="181">
        <f t="shared" si="33"/>
        <v>899.99998136789407</v>
      </c>
      <c r="D155" s="168">
        <f t="shared" si="3"/>
        <v>6692.1052695320359</v>
      </c>
      <c r="E155" s="168">
        <f t="shared" si="4"/>
        <v>3963.6363636363635</v>
      </c>
      <c r="F155" s="168">
        <f t="shared" si="5"/>
        <v>4527.272727272727</v>
      </c>
      <c r="G155" s="168">
        <f t="shared" si="6"/>
        <v>3763.6363636363635</v>
      </c>
      <c r="H155" s="168">
        <f t="shared" si="7"/>
        <v>7381.8181818181811</v>
      </c>
      <c r="I155" s="168">
        <f t="shared" si="8"/>
        <v>6581.8181818181811</v>
      </c>
      <c r="J155" s="168">
        <f t="shared" si="9"/>
        <v>7418.181818181818</v>
      </c>
      <c r="K155" s="168">
        <f t="shared" si="10"/>
        <v>9054.545454545454</v>
      </c>
      <c r="L155" s="168">
        <f t="shared" si="11"/>
        <v>9872.7272727272721</v>
      </c>
      <c r="M155" s="168">
        <f t="shared" si="12"/>
        <v>10909.090909090908</v>
      </c>
      <c r="N155" s="168">
        <f t="array" ref="N155">MIN(IF(E155:M155&gt;D155,E155:M155))</f>
        <v>7381.8181818181811</v>
      </c>
      <c r="O155" s="184">
        <f t="shared" si="1"/>
        <v>899.99998136789407</v>
      </c>
      <c r="P155" s="168">
        <f t="shared" si="13"/>
        <v>521.05262079193869</v>
      </c>
      <c r="Q155" s="168">
        <f t="shared" si="14"/>
        <v>2741.666666666667</v>
      </c>
      <c r="R155" s="168">
        <f t="shared" si="15"/>
        <v>3383.3333333333335</v>
      </c>
      <c r="S155" s="168">
        <f t="shared" si="16"/>
        <v>2408.3333333333335</v>
      </c>
      <c r="T155" s="168">
        <f t="shared" si="17"/>
        <v>5791.666666666667</v>
      </c>
      <c r="U155" s="168">
        <f t="shared" si="18"/>
        <v>4433.3333333333339</v>
      </c>
      <c r="V155" s="168">
        <f t="shared" si="19"/>
        <v>5308.3333333333339</v>
      </c>
      <c r="W155" s="168">
        <f t="shared" si="20"/>
        <v>7016.666666666667</v>
      </c>
      <c r="X155" s="168">
        <f t="shared" si="21"/>
        <v>6558.3333333333339</v>
      </c>
      <c r="Y155" s="168">
        <f t="shared" si="22"/>
        <v>7500</v>
      </c>
      <c r="Z155" s="190">
        <f t="array" ref="Z155">MIN(IF(Q155:Y155&gt;P155,Q155:Y155))</f>
        <v>2408.3333333333335</v>
      </c>
      <c r="AA155" s="184">
        <f t="shared" si="2"/>
        <v>899.99998136789407</v>
      </c>
      <c r="AB155" s="168">
        <f t="shared" si="23"/>
        <v>7381.8181818181811</v>
      </c>
      <c r="AC155" s="187" t="str">
        <f t="shared" si="24"/>
        <v/>
      </c>
      <c r="AD155" s="187" t="str">
        <f t="shared" si="25"/>
        <v/>
      </c>
      <c r="AE155" s="187" t="str">
        <f t="shared" si="26"/>
        <v/>
      </c>
      <c r="AF155" s="187" t="str">
        <f t="shared" si="27"/>
        <v>Casing 4</v>
      </c>
      <c r="AG155" s="187" t="str">
        <f t="shared" si="34"/>
        <v/>
      </c>
      <c r="AH155" s="187" t="str">
        <f t="shared" si="28"/>
        <v/>
      </c>
      <c r="AI155" s="187" t="str">
        <f t="shared" si="29"/>
        <v/>
      </c>
      <c r="AJ155" s="187" t="str">
        <f t="shared" si="30"/>
        <v/>
      </c>
      <c r="AK155" s="187" t="str">
        <f t="shared" si="31"/>
        <v/>
      </c>
      <c r="AL155" s="187" t="str">
        <f t="shared" si="38"/>
        <v>Casing 4</v>
      </c>
      <c r="AM155" s="193">
        <f t="shared" si="35"/>
        <v>12.763</v>
      </c>
      <c r="AN155" s="194">
        <f t="shared" si="36"/>
        <v>80000</v>
      </c>
      <c r="AO155" s="194">
        <f t="shared" si="37"/>
        <v>1066000</v>
      </c>
      <c r="AP155" s="189">
        <f t="shared" si="39"/>
        <v>3.4666052428208349</v>
      </c>
      <c r="AQ155" s="189">
        <f t="shared" si="40"/>
        <v>3.619252124154793</v>
      </c>
      <c r="BE155" s="12"/>
    </row>
    <row r="156" spans="1:57">
      <c r="A156" s="184">
        <f t="shared" si="0"/>
        <v>1012.8921311460663</v>
      </c>
      <c r="B156" s="172">
        <f t="shared" si="32"/>
        <v>293629.23831768171</v>
      </c>
      <c r="C156" s="181">
        <f t="shared" si="33"/>
        <v>1012.8921311460663</v>
      </c>
      <c r="D156" s="168">
        <f t="shared" si="3"/>
        <v>6653.4842709237146</v>
      </c>
      <c r="E156" s="168">
        <f t="shared" si="4"/>
        <v>3963.6363636363635</v>
      </c>
      <c r="F156" s="168">
        <f t="shared" si="5"/>
        <v>4527.272727272727</v>
      </c>
      <c r="G156" s="168">
        <f t="shared" si="6"/>
        <v>3763.6363636363635</v>
      </c>
      <c r="H156" s="168">
        <f t="shared" si="7"/>
        <v>7381.8181818181811</v>
      </c>
      <c r="I156" s="168">
        <f t="shared" si="8"/>
        <v>6581.8181818181811</v>
      </c>
      <c r="J156" s="168">
        <f t="shared" si="9"/>
        <v>7418.181818181818</v>
      </c>
      <c r="K156" s="168">
        <f t="shared" si="10"/>
        <v>9054.545454545454</v>
      </c>
      <c r="L156" s="168">
        <f t="shared" si="11"/>
        <v>9872.7272727272721</v>
      </c>
      <c r="M156" s="168">
        <f t="shared" si="12"/>
        <v>10909.090909090908</v>
      </c>
      <c r="N156" s="168">
        <f t="array" ref="N156">MIN(IF(E156:M156&gt;D156,E156:M156))</f>
        <v>7381.8181818181811</v>
      </c>
      <c r="O156" s="184">
        <f t="shared" si="1"/>
        <v>1012.8921311460663</v>
      </c>
      <c r="P156" s="168">
        <f t="shared" si="13"/>
        <v>586.41123382140677</v>
      </c>
      <c r="Q156" s="168">
        <f t="shared" si="14"/>
        <v>2741.666666666667</v>
      </c>
      <c r="R156" s="168">
        <f t="shared" si="15"/>
        <v>3383.3333333333335</v>
      </c>
      <c r="S156" s="168">
        <f t="shared" si="16"/>
        <v>2408.3333333333335</v>
      </c>
      <c r="T156" s="168">
        <f t="shared" si="17"/>
        <v>5791.666666666667</v>
      </c>
      <c r="U156" s="168">
        <f t="shared" si="18"/>
        <v>4433.3333333333339</v>
      </c>
      <c r="V156" s="168">
        <f t="shared" si="19"/>
        <v>5308.3333333333339</v>
      </c>
      <c r="W156" s="168">
        <f t="shared" si="20"/>
        <v>7016.666666666667</v>
      </c>
      <c r="X156" s="168">
        <f t="shared" si="21"/>
        <v>6558.3333333333339</v>
      </c>
      <c r="Y156" s="168">
        <f t="shared" si="22"/>
        <v>7500</v>
      </c>
      <c r="Z156" s="190">
        <f t="array" ref="Z156">MIN(IF(Q156:Y156&gt;P156,Q156:Y156))</f>
        <v>2408.3333333333335</v>
      </c>
      <c r="AA156" s="184">
        <f t="shared" si="2"/>
        <v>1012.8921311460663</v>
      </c>
      <c r="AB156" s="168">
        <f t="shared" si="23"/>
        <v>7381.8181818181811</v>
      </c>
      <c r="AC156" s="187" t="str">
        <f t="shared" si="24"/>
        <v/>
      </c>
      <c r="AD156" s="187" t="str">
        <f t="shared" si="25"/>
        <v/>
      </c>
      <c r="AE156" s="187" t="str">
        <f t="shared" si="26"/>
        <v/>
      </c>
      <c r="AF156" s="187" t="str">
        <f t="shared" si="27"/>
        <v>Casing 4</v>
      </c>
      <c r="AG156" s="187" t="str">
        <f t="shared" si="34"/>
        <v/>
      </c>
      <c r="AH156" s="187" t="str">
        <f t="shared" si="28"/>
        <v/>
      </c>
      <c r="AI156" s="187" t="str">
        <f t="shared" si="29"/>
        <v/>
      </c>
      <c r="AJ156" s="187" t="str">
        <f t="shared" si="30"/>
        <v/>
      </c>
      <c r="AK156" s="187" t="str">
        <f t="shared" si="31"/>
        <v/>
      </c>
      <c r="AL156" s="187" t="str">
        <f t="shared" si="38"/>
        <v>Casing 4</v>
      </c>
      <c r="AM156" s="193">
        <f t="shared" si="35"/>
        <v>12.763</v>
      </c>
      <c r="AN156" s="194">
        <f t="shared" si="36"/>
        <v>80000</v>
      </c>
      <c r="AO156" s="194">
        <f t="shared" si="37"/>
        <v>1066000</v>
      </c>
      <c r="AP156" s="189">
        <f t="shared" si="39"/>
        <v>3.4773103858796315</v>
      </c>
      <c r="AQ156" s="189">
        <f t="shared" si="40"/>
        <v>3.6304286524991056</v>
      </c>
      <c r="BE156" s="12"/>
    </row>
    <row r="157" spans="1:57">
      <c r="A157" s="184">
        <f t="shared" si="0"/>
        <v>1125.7837200119914</v>
      </c>
      <c r="B157" s="172">
        <f t="shared" si="32"/>
        <v>274747.54519675818</v>
      </c>
      <c r="C157" s="181">
        <f t="shared" si="33"/>
        <v>1125.7837200119914</v>
      </c>
      <c r="D157" s="168">
        <f t="shared" si="3"/>
        <v>6614.8634642064244</v>
      </c>
      <c r="E157" s="168">
        <f t="shared" si="4"/>
        <v>3963.6363636363635</v>
      </c>
      <c r="F157" s="168">
        <f t="shared" si="5"/>
        <v>4527.272727272727</v>
      </c>
      <c r="G157" s="168">
        <f t="shared" si="6"/>
        <v>3763.6363636363635</v>
      </c>
      <c r="H157" s="168">
        <f t="shared" si="7"/>
        <v>7381.8181818181811</v>
      </c>
      <c r="I157" s="168">
        <f t="shared" si="8"/>
        <v>6581.8181818181811</v>
      </c>
      <c r="J157" s="168">
        <f t="shared" si="9"/>
        <v>7418.181818181818</v>
      </c>
      <c r="K157" s="168">
        <f t="shared" si="10"/>
        <v>9054.545454545454</v>
      </c>
      <c r="L157" s="168">
        <f t="shared" si="11"/>
        <v>9872.7272727272721</v>
      </c>
      <c r="M157" s="168">
        <f t="shared" si="12"/>
        <v>10909.090909090908</v>
      </c>
      <c r="N157" s="168">
        <f t="array" ref="N157">MIN(IF(E157:M157&gt;D157,E157:M157))</f>
        <v>7381.8181818181811</v>
      </c>
      <c r="O157" s="184">
        <f t="shared" si="1"/>
        <v>1125.7837200119914</v>
      </c>
      <c r="P157" s="168">
        <f t="shared" si="13"/>
        <v>651.76952211220555</v>
      </c>
      <c r="Q157" s="168">
        <f t="shared" si="14"/>
        <v>2741.666666666667</v>
      </c>
      <c r="R157" s="168">
        <f t="shared" si="15"/>
        <v>3383.3333333333335</v>
      </c>
      <c r="S157" s="168">
        <f t="shared" si="16"/>
        <v>2408.3333333333335</v>
      </c>
      <c r="T157" s="168">
        <f t="shared" si="17"/>
        <v>5791.666666666667</v>
      </c>
      <c r="U157" s="168">
        <f t="shared" si="18"/>
        <v>4433.3333333333339</v>
      </c>
      <c r="V157" s="168">
        <f t="shared" si="19"/>
        <v>5308.3333333333339</v>
      </c>
      <c r="W157" s="168">
        <f t="shared" si="20"/>
        <v>7016.666666666667</v>
      </c>
      <c r="X157" s="168">
        <f t="shared" si="21"/>
        <v>6558.3333333333339</v>
      </c>
      <c r="Y157" s="168">
        <f t="shared" si="22"/>
        <v>7500</v>
      </c>
      <c r="Z157" s="190">
        <f t="array" ref="Z157">MIN(IF(Q157:Y157&gt;P157,Q157:Y157))</f>
        <v>2408.3333333333335</v>
      </c>
      <c r="AA157" s="184">
        <f t="shared" si="2"/>
        <v>1125.7837200119914</v>
      </c>
      <c r="AB157" s="168">
        <f t="shared" si="23"/>
        <v>7381.8181818181811</v>
      </c>
      <c r="AC157" s="187" t="str">
        <f t="shared" si="24"/>
        <v/>
      </c>
      <c r="AD157" s="187" t="str">
        <f t="shared" si="25"/>
        <v/>
      </c>
      <c r="AE157" s="187" t="str">
        <f t="shared" si="26"/>
        <v/>
      </c>
      <c r="AF157" s="187" t="str">
        <f t="shared" si="27"/>
        <v>Casing 4</v>
      </c>
      <c r="AG157" s="187" t="str">
        <f t="shared" si="34"/>
        <v/>
      </c>
      <c r="AH157" s="187" t="str">
        <f t="shared" si="28"/>
        <v/>
      </c>
      <c r="AI157" s="187" t="str">
        <f t="shared" si="29"/>
        <v/>
      </c>
      <c r="AJ157" s="187" t="str">
        <f t="shared" si="30"/>
        <v/>
      </c>
      <c r="AK157" s="187" t="str">
        <f t="shared" si="31"/>
        <v/>
      </c>
      <c r="AL157" s="187" t="str">
        <f t="shared" si="38"/>
        <v>Casing 4</v>
      </c>
      <c r="AM157" s="193">
        <f t="shared" si="35"/>
        <v>12.763</v>
      </c>
      <c r="AN157" s="194">
        <f t="shared" si="36"/>
        <v>80000</v>
      </c>
      <c r="AO157" s="194">
        <f t="shared" si="37"/>
        <v>1066000</v>
      </c>
      <c r="AP157" s="189">
        <f t="shared" si="39"/>
        <v>3.7162843412078193</v>
      </c>
      <c r="AQ157" s="189">
        <f t="shared" si="40"/>
        <v>3.8799254757184198</v>
      </c>
      <c r="BE157" s="12"/>
    </row>
    <row r="158" spans="1:57">
      <c r="A158" s="184">
        <f t="shared" si="0"/>
        <v>1238.6744675112877</v>
      </c>
      <c r="B158" s="172">
        <f t="shared" si="32"/>
        <v>266690.20507185621</v>
      </c>
      <c r="C158" s="181">
        <f t="shared" si="33"/>
        <v>1238.6744675112877</v>
      </c>
      <c r="D158" s="168">
        <f t="shared" si="3"/>
        <v>6576.242945325087</v>
      </c>
      <c r="E158" s="168">
        <f t="shared" si="4"/>
        <v>3963.6363636363635</v>
      </c>
      <c r="F158" s="168">
        <f t="shared" si="5"/>
        <v>4527.272727272727</v>
      </c>
      <c r="G158" s="168">
        <f t="shared" si="6"/>
        <v>3763.6363636363635</v>
      </c>
      <c r="H158" s="168">
        <f t="shared" si="7"/>
        <v>7381.8181818181811</v>
      </c>
      <c r="I158" s="168">
        <f t="shared" si="8"/>
        <v>6581.8181818181811</v>
      </c>
      <c r="J158" s="168">
        <f t="shared" si="9"/>
        <v>7418.181818181818</v>
      </c>
      <c r="K158" s="168">
        <f t="shared" si="10"/>
        <v>9054.545454545454</v>
      </c>
      <c r="L158" s="168">
        <f t="shared" si="11"/>
        <v>9872.7272727272721</v>
      </c>
      <c r="M158" s="168">
        <f t="shared" si="12"/>
        <v>10909.090909090908</v>
      </c>
      <c r="N158" s="168">
        <f t="array" ref="N158">MIN(IF(E158:M158&gt;D158,E158:M158))</f>
        <v>6581.8181818181811</v>
      </c>
      <c r="O158" s="184">
        <f t="shared" si="1"/>
        <v>1238.6744675112877</v>
      </c>
      <c r="P158" s="168">
        <f t="shared" si="13"/>
        <v>717.12732329600874</v>
      </c>
      <c r="Q158" s="168">
        <f t="shared" si="14"/>
        <v>2741.666666666667</v>
      </c>
      <c r="R158" s="168">
        <f t="shared" si="15"/>
        <v>3383.3333333333335</v>
      </c>
      <c r="S158" s="168">
        <f t="shared" si="16"/>
        <v>2408.3333333333335</v>
      </c>
      <c r="T158" s="168">
        <f t="shared" si="17"/>
        <v>5791.666666666667</v>
      </c>
      <c r="U158" s="168">
        <f t="shared" si="18"/>
        <v>4433.3333333333339</v>
      </c>
      <c r="V158" s="168">
        <f t="shared" si="19"/>
        <v>5308.3333333333339</v>
      </c>
      <c r="W158" s="168">
        <f t="shared" si="20"/>
        <v>7016.666666666667</v>
      </c>
      <c r="X158" s="168">
        <f t="shared" si="21"/>
        <v>6558.3333333333339</v>
      </c>
      <c r="Y158" s="168">
        <f t="shared" si="22"/>
        <v>7500</v>
      </c>
      <c r="Z158" s="190">
        <f t="array" ref="Z158">MIN(IF(Q158:Y158&gt;P158,Q158:Y158))</f>
        <v>2408.3333333333335</v>
      </c>
      <c r="AA158" s="184">
        <f t="shared" si="2"/>
        <v>1238.6744675112877</v>
      </c>
      <c r="AB158" s="168">
        <f t="shared" si="23"/>
        <v>6581.8181818181811</v>
      </c>
      <c r="AC158" s="187" t="str">
        <f t="shared" si="24"/>
        <v/>
      </c>
      <c r="AD158" s="187" t="str">
        <f t="shared" si="25"/>
        <v/>
      </c>
      <c r="AE158" s="187" t="str">
        <f t="shared" si="26"/>
        <v/>
      </c>
      <c r="AF158" s="187" t="str">
        <f t="shared" si="27"/>
        <v/>
      </c>
      <c r="AG158" s="187" t="str">
        <f t="shared" si="34"/>
        <v>Casing 5</v>
      </c>
      <c r="AH158" s="187" t="str">
        <f t="shared" si="28"/>
        <v/>
      </c>
      <c r="AI158" s="187" t="str">
        <f t="shared" si="29"/>
        <v/>
      </c>
      <c r="AJ158" s="187" t="str">
        <f t="shared" si="30"/>
        <v/>
      </c>
      <c r="AK158" s="187" t="str">
        <f t="shared" si="31"/>
        <v/>
      </c>
      <c r="AL158" s="187" t="str">
        <f t="shared" si="38"/>
        <v>Casing 5</v>
      </c>
      <c r="AM158" s="193">
        <f t="shared" si="35"/>
        <v>5.9980000000000002</v>
      </c>
      <c r="AN158" s="194">
        <f t="shared" si="36"/>
        <v>80000</v>
      </c>
      <c r="AO158" s="194">
        <f t="shared" si="37"/>
        <v>460000</v>
      </c>
      <c r="AP158" s="189">
        <f t="shared" si="39"/>
        <v>1.7992411827450256</v>
      </c>
      <c r="AQ158" s="189">
        <f t="shared" si="40"/>
        <v>1.7248477493804431</v>
      </c>
      <c r="BE158" s="12"/>
    </row>
    <row r="159" spans="1:57">
      <c r="A159" s="184">
        <f t="shared" si="0"/>
        <v>1351.5640931916637</v>
      </c>
      <c r="B159" s="172">
        <f t="shared" si="32"/>
        <v>258695.58406285456</v>
      </c>
      <c r="C159" s="181">
        <f t="shared" si="33"/>
        <v>1351.5640931916637</v>
      </c>
      <c r="D159" s="168">
        <f t="shared" si="3"/>
        <v>6537.6228102239047</v>
      </c>
      <c r="E159" s="168">
        <f t="shared" si="4"/>
        <v>3963.6363636363635</v>
      </c>
      <c r="F159" s="168">
        <f t="shared" si="5"/>
        <v>4527.272727272727</v>
      </c>
      <c r="G159" s="168">
        <f t="shared" si="6"/>
        <v>3763.6363636363635</v>
      </c>
      <c r="H159" s="168">
        <f t="shared" si="7"/>
        <v>7381.8181818181811</v>
      </c>
      <c r="I159" s="168">
        <f t="shared" si="8"/>
        <v>6581.8181818181811</v>
      </c>
      <c r="J159" s="168">
        <f t="shared" si="9"/>
        <v>7418.181818181818</v>
      </c>
      <c r="K159" s="168">
        <f t="shared" si="10"/>
        <v>9054.545454545454</v>
      </c>
      <c r="L159" s="168">
        <f t="shared" si="11"/>
        <v>9872.7272727272721</v>
      </c>
      <c r="M159" s="168">
        <f t="shared" si="12"/>
        <v>10909.090909090908</v>
      </c>
      <c r="N159" s="168">
        <f t="array" ref="N159">MIN(IF(E159:M159&gt;D159,E159:M159))</f>
        <v>6581.8181818181811</v>
      </c>
      <c r="O159" s="184">
        <f t="shared" si="1"/>
        <v>1351.5640931916637</v>
      </c>
      <c r="P159" s="168">
        <f t="shared" si="13"/>
        <v>782.48447500570001</v>
      </c>
      <c r="Q159" s="168">
        <f t="shared" si="14"/>
        <v>2741.666666666667</v>
      </c>
      <c r="R159" s="168">
        <f t="shared" si="15"/>
        <v>3383.3333333333335</v>
      </c>
      <c r="S159" s="168">
        <f t="shared" si="16"/>
        <v>2408.3333333333335</v>
      </c>
      <c r="T159" s="168">
        <f t="shared" si="17"/>
        <v>5791.666666666667</v>
      </c>
      <c r="U159" s="168">
        <f t="shared" si="18"/>
        <v>4433.3333333333339</v>
      </c>
      <c r="V159" s="168">
        <f t="shared" si="19"/>
        <v>5308.3333333333339</v>
      </c>
      <c r="W159" s="168">
        <f t="shared" si="20"/>
        <v>7016.666666666667</v>
      </c>
      <c r="X159" s="168">
        <f t="shared" si="21"/>
        <v>6558.3333333333339</v>
      </c>
      <c r="Y159" s="168">
        <f t="shared" si="22"/>
        <v>7500</v>
      </c>
      <c r="Z159" s="190">
        <f t="array" ref="Z159">MIN(IF(Q159:Y159&gt;P159,Q159:Y159))</f>
        <v>2408.3333333333335</v>
      </c>
      <c r="AA159" s="184">
        <f t="shared" si="2"/>
        <v>1351.5640931916637</v>
      </c>
      <c r="AB159" s="168">
        <f t="shared" si="23"/>
        <v>6581.8181818181811</v>
      </c>
      <c r="AC159" s="187" t="str">
        <f t="shared" si="24"/>
        <v/>
      </c>
      <c r="AD159" s="187" t="str">
        <f t="shared" si="25"/>
        <v/>
      </c>
      <c r="AE159" s="187" t="str">
        <f t="shared" si="26"/>
        <v/>
      </c>
      <c r="AF159" s="187" t="str">
        <f t="shared" si="27"/>
        <v/>
      </c>
      <c r="AG159" s="187" t="str">
        <f t="shared" si="34"/>
        <v>Casing 5</v>
      </c>
      <c r="AH159" s="187" t="str">
        <f t="shared" si="28"/>
        <v/>
      </c>
      <c r="AI159" s="187" t="str">
        <f t="shared" si="29"/>
        <v/>
      </c>
      <c r="AJ159" s="187" t="str">
        <f t="shared" si="30"/>
        <v/>
      </c>
      <c r="AK159" s="187" t="str">
        <f t="shared" si="31"/>
        <v/>
      </c>
      <c r="AL159" s="187" t="str">
        <f t="shared" si="38"/>
        <v>Casing 5</v>
      </c>
      <c r="AM159" s="193">
        <f t="shared" si="35"/>
        <v>5.9980000000000002</v>
      </c>
      <c r="AN159" s="194">
        <f t="shared" si="36"/>
        <v>80000</v>
      </c>
      <c r="AO159" s="194">
        <f t="shared" si="37"/>
        <v>460000</v>
      </c>
      <c r="AP159" s="189">
        <f t="shared" si="39"/>
        <v>1.8548441858343225</v>
      </c>
      <c r="AQ159" s="189">
        <f t="shared" si="40"/>
        <v>1.7781517286674482</v>
      </c>
      <c r="BE159" s="12"/>
    </row>
    <row r="160" spans="1:57">
      <c r="A160" s="184">
        <f t="shared" si="0"/>
        <v>1464.4523166036151</v>
      </c>
      <c r="B160" s="172">
        <f t="shared" si="32"/>
        <v>250763.68605151118</v>
      </c>
      <c r="C160" s="181">
        <f t="shared" si="33"/>
        <v>1464.4523166036151</v>
      </c>
      <c r="D160" s="168">
        <f t="shared" si="3"/>
        <v>6499.0031548461311</v>
      </c>
      <c r="E160" s="168">
        <f t="shared" si="4"/>
        <v>3963.6363636363635</v>
      </c>
      <c r="F160" s="168">
        <f t="shared" si="5"/>
        <v>4527.272727272727</v>
      </c>
      <c r="G160" s="168">
        <f t="shared" si="6"/>
        <v>3763.6363636363635</v>
      </c>
      <c r="H160" s="168">
        <f t="shared" si="7"/>
        <v>7381.8181818181811</v>
      </c>
      <c r="I160" s="168">
        <f t="shared" si="8"/>
        <v>6581.8181818181811</v>
      </c>
      <c r="J160" s="168">
        <f t="shared" si="9"/>
        <v>7418.181818181818</v>
      </c>
      <c r="K160" s="168">
        <f t="shared" si="10"/>
        <v>9054.545454545454</v>
      </c>
      <c r="L160" s="168">
        <f t="shared" si="11"/>
        <v>9872.7272727272721</v>
      </c>
      <c r="M160" s="168">
        <f t="shared" si="12"/>
        <v>10909.090909090908</v>
      </c>
      <c r="N160" s="168">
        <f t="array" ref="N160">MIN(IF(E160:M160&gt;D160,E160:M160))</f>
        <v>6581.8181818181811</v>
      </c>
      <c r="O160" s="184">
        <f t="shared" si="1"/>
        <v>1464.4523166036151</v>
      </c>
      <c r="P160" s="168">
        <f t="shared" si="13"/>
        <v>847.84081487577726</v>
      </c>
      <c r="Q160" s="168">
        <f t="shared" si="14"/>
        <v>2741.666666666667</v>
      </c>
      <c r="R160" s="168">
        <f t="shared" si="15"/>
        <v>3383.3333333333335</v>
      </c>
      <c r="S160" s="168">
        <f t="shared" si="16"/>
        <v>2408.3333333333335</v>
      </c>
      <c r="T160" s="168">
        <f t="shared" si="17"/>
        <v>5791.666666666667</v>
      </c>
      <c r="U160" s="168">
        <f t="shared" si="18"/>
        <v>4433.3333333333339</v>
      </c>
      <c r="V160" s="168">
        <f t="shared" si="19"/>
        <v>5308.3333333333339</v>
      </c>
      <c r="W160" s="168">
        <f t="shared" si="20"/>
        <v>7016.666666666667</v>
      </c>
      <c r="X160" s="168">
        <f t="shared" si="21"/>
        <v>6558.3333333333339</v>
      </c>
      <c r="Y160" s="168">
        <f t="shared" si="22"/>
        <v>7500</v>
      </c>
      <c r="Z160" s="190">
        <f t="array" ref="Z160">MIN(IF(Q160:Y160&gt;P160,Q160:Y160))</f>
        <v>2408.3333333333335</v>
      </c>
      <c r="AA160" s="184">
        <f t="shared" si="2"/>
        <v>1464.4523166036151</v>
      </c>
      <c r="AB160" s="168">
        <f t="shared" si="23"/>
        <v>6581.8181818181811</v>
      </c>
      <c r="AC160" s="187" t="str">
        <f t="shared" si="24"/>
        <v/>
      </c>
      <c r="AD160" s="187" t="str">
        <f t="shared" si="25"/>
        <v/>
      </c>
      <c r="AE160" s="187" t="str">
        <f t="shared" si="26"/>
        <v/>
      </c>
      <c r="AF160" s="187" t="str">
        <f t="shared" si="27"/>
        <v/>
      </c>
      <c r="AG160" s="187" t="str">
        <f t="shared" si="34"/>
        <v>Casing 5</v>
      </c>
      <c r="AH160" s="187" t="str">
        <f t="shared" si="28"/>
        <v/>
      </c>
      <c r="AI160" s="187" t="str">
        <f t="shared" si="29"/>
        <v/>
      </c>
      <c r="AJ160" s="187" t="str">
        <f t="shared" si="30"/>
        <v/>
      </c>
      <c r="AK160" s="187" t="str">
        <f t="shared" si="31"/>
        <v/>
      </c>
      <c r="AL160" s="187" t="str">
        <f t="shared" si="38"/>
        <v>Casing 5</v>
      </c>
      <c r="AM160" s="193">
        <f t="shared" si="35"/>
        <v>5.9980000000000002</v>
      </c>
      <c r="AN160" s="194">
        <f t="shared" si="36"/>
        <v>80000</v>
      </c>
      <c r="AO160" s="194">
        <f t="shared" si="37"/>
        <v>460000</v>
      </c>
      <c r="AP160" s="189">
        <f t="shared" si="39"/>
        <v>1.9135147020507293</v>
      </c>
      <c r="AQ160" s="189">
        <f t="shared" si="40"/>
        <v>1.8343963882613692</v>
      </c>
      <c r="BE160" s="12"/>
    </row>
    <row r="161" spans="1:57">
      <c r="A161" s="184">
        <f t="shared" si="0"/>
        <v>1577.3388573011205</v>
      </c>
      <c r="B161" s="172">
        <f t="shared" si="32"/>
        <v>242894.51480786043</v>
      </c>
      <c r="C161" s="181">
        <f t="shared" si="33"/>
        <v>1577.3388573011205</v>
      </c>
      <c r="D161" s="168">
        <f t="shared" si="3"/>
        <v>6460.3840751338266</v>
      </c>
      <c r="E161" s="168">
        <f t="shared" si="4"/>
        <v>3963.6363636363635</v>
      </c>
      <c r="F161" s="168">
        <f t="shared" si="5"/>
        <v>4527.272727272727</v>
      </c>
      <c r="G161" s="168">
        <f t="shared" si="6"/>
        <v>3763.6363636363635</v>
      </c>
      <c r="H161" s="168">
        <f t="shared" si="7"/>
        <v>7381.8181818181811</v>
      </c>
      <c r="I161" s="168">
        <f t="shared" si="8"/>
        <v>6581.8181818181811</v>
      </c>
      <c r="J161" s="168">
        <f t="shared" si="9"/>
        <v>7418.181818181818</v>
      </c>
      <c r="K161" s="168">
        <f t="shared" si="10"/>
        <v>9054.545454545454</v>
      </c>
      <c r="L161" s="168">
        <f t="shared" si="11"/>
        <v>9872.7272727272721</v>
      </c>
      <c r="M161" s="168">
        <f t="shared" si="12"/>
        <v>10909.090909090908</v>
      </c>
      <c r="N161" s="168">
        <f t="array" ref="N161">MIN(IF(E161:M161&gt;D161,E161:M161))</f>
        <v>6581.8181818181811</v>
      </c>
      <c r="O161" s="184">
        <f t="shared" si="1"/>
        <v>1577.3388573011205</v>
      </c>
      <c r="P161" s="168">
        <f t="shared" si="13"/>
        <v>913.19618054275395</v>
      </c>
      <c r="Q161" s="168">
        <f t="shared" si="14"/>
        <v>2741.666666666667</v>
      </c>
      <c r="R161" s="168">
        <f t="shared" si="15"/>
        <v>3383.3333333333335</v>
      </c>
      <c r="S161" s="168">
        <f t="shared" si="16"/>
        <v>2408.3333333333335</v>
      </c>
      <c r="T161" s="168">
        <f t="shared" si="17"/>
        <v>5791.666666666667</v>
      </c>
      <c r="U161" s="168">
        <f t="shared" si="18"/>
        <v>4433.3333333333339</v>
      </c>
      <c r="V161" s="168">
        <f t="shared" si="19"/>
        <v>5308.3333333333339</v>
      </c>
      <c r="W161" s="168">
        <f t="shared" si="20"/>
        <v>7016.666666666667</v>
      </c>
      <c r="X161" s="168">
        <f t="shared" si="21"/>
        <v>6558.3333333333339</v>
      </c>
      <c r="Y161" s="168">
        <f t="shared" si="22"/>
        <v>7500</v>
      </c>
      <c r="Z161" s="190">
        <f t="array" ref="Z161">MIN(IF(Q161:Y161&gt;P161,Q161:Y161))</f>
        <v>2408.3333333333335</v>
      </c>
      <c r="AA161" s="184">
        <f t="shared" si="2"/>
        <v>1577.3388573011205</v>
      </c>
      <c r="AB161" s="168">
        <f t="shared" si="23"/>
        <v>6581.8181818181811</v>
      </c>
      <c r="AC161" s="187" t="str">
        <f t="shared" si="24"/>
        <v/>
      </c>
      <c r="AD161" s="187" t="str">
        <f t="shared" si="25"/>
        <v/>
      </c>
      <c r="AE161" s="187" t="str">
        <f t="shared" si="26"/>
        <v/>
      </c>
      <c r="AF161" s="187" t="str">
        <f t="shared" si="27"/>
        <v/>
      </c>
      <c r="AG161" s="187" t="str">
        <f t="shared" si="34"/>
        <v>Casing 5</v>
      </c>
      <c r="AH161" s="187" t="str">
        <f t="shared" si="28"/>
        <v/>
      </c>
      <c r="AI161" s="187" t="str">
        <f t="shared" si="29"/>
        <v/>
      </c>
      <c r="AJ161" s="187" t="str">
        <f t="shared" si="30"/>
        <v/>
      </c>
      <c r="AK161" s="187" t="str">
        <f t="shared" si="31"/>
        <v/>
      </c>
      <c r="AL161" s="187" t="str">
        <f t="shared" si="38"/>
        <v>Casing 5</v>
      </c>
      <c r="AM161" s="193">
        <f t="shared" si="35"/>
        <v>5.9980000000000002</v>
      </c>
      <c r="AN161" s="194">
        <f t="shared" si="36"/>
        <v>80000</v>
      </c>
      <c r="AO161" s="194">
        <f t="shared" si="37"/>
        <v>460000</v>
      </c>
      <c r="AP161" s="189">
        <f t="shared" si="39"/>
        <v>1.9755077646754322</v>
      </c>
      <c r="AQ161" s="189">
        <f t="shared" si="40"/>
        <v>1.8938262165528068</v>
      </c>
      <c r="BE161" s="12"/>
    </row>
    <row r="162" spans="1:57">
      <c r="A162" s="184">
        <f t="shared" si="0"/>
        <v>1690.2234348423397</v>
      </c>
      <c r="B162" s="172">
        <f t="shared" si="32"/>
        <v>235088.07399021043</v>
      </c>
      <c r="C162" s="181">
        <f t="shared" si="33"/>
        <v>1690.2234348423397</v>
      </c>
      <c r="D162" s="168">
        <f t="shared" si="3"/>
        <v>6421.7656670276201</v>
      </c>
      <c r="E162" s="168">
        <f t="shared" si="4"/>
        <v>3963.6363636363635</v>
      </c>
      <c r="F162" s="168">
        <f t="shared" si="5"/>
        <v>4527.272727272727</v>
      </c>
      <c r="G162" s="168">
        <f t="shared" si="6"/>
        <v>3763.6363636363635</v>
      </c>
      <c r="H162" s="168">
        <f t="shared" si="7"/>
        <v>7381.8181818181811</v>
      </c>
      <c r="I162" s="168">
        <f t="shared" si="8"/>
        <v>6581.8181818181811</v>
      </c>
      <c r="J162" s="168">
        <f t="shared" si="9"/>
        <v>7418.181818181818</v>
      </c>
      <c r="K162" s="168">
        <f t="shared" si="10"/>
        <v>9054.545454545454</v>
      </c>
      <c r="L162" s="168">
        <f t="shared" si="11"/>
        <v>9872.7272727272721</v>
      </c>
      <c r="M162" s="168">
        <f t="shared" si="12"/>
        <v>10909.090909090908</v>
      </c>
      <c r="N162" s="168">
        <f t="array" ref="N162">MIN(IF(E162:M162&gt;D162,E162:M162))</f>
        <v>6581.8181818181811</v>
      </c>
      <c r="O162" s="184">
        <f t="shared" si="1"/>
        <v>1690.2234348423397</v>
      </c>
      <c r="P162" s="168">
        <f t="shared" si="13"/>
        <v>978.55040964556508</v>
      </c>
      <c r="Q162" s="168">
        <f t="shared" si="14"/>
        <v>2741.666666666667</v>
      </c>
      <c r="R162" s="168">
        <f t="shared" si="15"/>
        <v>3383.3333333333335</v>
      </c>
      <c r="S162" s="168">
        <f t="shared" si="16"/>
        <v>2408.3333333333335</v>
      </c>
      <c r="T162" s="168">
        <f t="shared" si="17"/>
        <v>5791.666666666667</v>
      </c>
      <c r="U162" s="168">
        <f t="shared" si="18"/>
        <v>4433.3333333333339</v>
      </c>
      <c r="V162" s="168">
        <f t="shared" si="19"/>
        <v>5308.3333333333339</v>
      </c>
      <c r="W162" s="168">
        <f t="shared" si="20"/>
        <v>7016.666666666667</v>
      </c>
      <c r="X162" s="168">
        <f t="shared" si="21"/>
        <v>6558.3333333333339</v>
      </c>
      <c r="Y162" s="168">
        <f t="shared" si="22"/>
        <v>7500</v>
      </c>
      <c r="Z162" s="190">
        <f t="array" ref="Z162">MIN(IF(Q162:Y162&gt;P162,Q162:Y162))</f>
        <v>2408.3333333333335</v>
      </c>
      <c r="AA162" s="184">
        <f t="shared" si="2"/>
        <v>1690.2234348423397</v>
      </c>
      <c r="AB162" s="168">
        <f t="shared" si="23"/>
        <v>6581.8181818181811</v>
      </c>
      <c r="AC162" s="187" t="str">
        <f t="shared" si="24"/>
        <v/>
      </c>
      <c r="AD162" s="187" t="str">
        <f t="shared" si="25"/>
        <v/>
      </c>
      <c r="AE162" s="187" t="str">
        <f t="shared" si="26"/>
        <v/>
      </c>
      <c r="AF162" s="187" t="str">
        <f t="shared" si="27"/>
        <v/>
      </c>
      <c r="AG162" s="187" t="str">
        <f t="shared" si="34"/>
        <v>Casing 5</v>
      </c>
      <c r="AH162" s="187" t="str">
        <f t="shared" si="28"/>
        <v/>
      </c>
      <c r="AI162" s="187" t="str">
        <f t="shared" si="29"/>
        <v/>
      </c>
      <c r="AJ162" s="187" t="str">
        <f t="shared" si="30"/>
        <v/>
      </c>
      <c r="AK162" s="187" t="str">
        <f t="shared" si="31"/>
        <v/>
      </c>
      <c r="AL162" s="187" t="str">
        <f t="shared" si="38"/>
        <v>Casing 5</v>
      </c>
      <c r="AM162" s="193">
        <f t="shared" si="35"/>
        <v>5.9980000000000002</v>
      </c>
      <c r="AN162" s="194">
        <f t="shared" si="36"/>
        <v>80000</v>
      </c>
      <c r="AO162" s="194">
        <f t="shared" si="37"/>
        <v>460000</v>
      </c>
      <c r="AP162" s="189">
        <f t="shared" si="39"/>
        <v>2.0411073682112075</v>
      </c>
      <c r="AQ162" s="189">
        <f t="shared" si="40"/>
        <v>1.9567134656909708</v>
      </c>
      <c r="BE162" s="12"/>
    </row>
    <row r="163" spans="1:57">
      <c r="A163" s="184">
        <f t="shared" si="0"/>
        <v>1803.1057687903087</v>
      </c>
      <c r="B163" s="172">
        <f t="shared" si="32"/>
        <v>227344.3671451399</v>
      </c>
      <c r="C163" s="181">
        <f t="shared" si="33"/>
        <v>1803.1057687903087</v>
      </c>
      <c r="D163" s="168">
        <f t="shared" si="3"/>
        <v>6383.1480264664733</v>
      </c>
      <c r="E163" s="168">
        <f t="shared" si="4"/>
        <v>3963.6363636363635</v>
      </c>
      <c r="F163" s="168">
        <f t="shared" si="5"/>
        <v>4527.272727272727</v>
      </c>
      <c r="G163" s="168">
        <f t="shared" si="6"/>
        <v>3763.6363636363635</v>
      </c>
      <c r="H163" s="168">
        <f t="shared" si="7"/>
        <v>7381.8181818181811</v>
      </c>
      <c r="I163" s="168">
        <f t="shared" si="8"/>
        <v>6581.8181818181811</v>
      </c>
      <c r="J163" s="168">
        <f t="shared" si="9"/>
        <v>7418.181818181818</v>
      </c>
      <c r="K163" s="168">
        <f t="shared" si="10"/>
        <v>9054.545454545454</v>
      </c>
      <c r="L163" s="168">
        <f t="shared" si="11"/>
        <v>9872.7272727272721</v>
      </c>
      <c r="M163" s="168">
        <f t="shared" si="12"/>
        <v>10909.090909090908</v>
      </c>
      <c r="N163" s="168">
        <f t="array" ref="N163">MIN(IF(E163:M163&gt;D163,E163:M163))</f>
        <v>6581.8181818181811</v>
      </c>
      <c r="O163" s="184">
        <f t="shared" si="1"/>
        <v>1803.1057687903087</v>
      </c>
      <c r="P163" s="168">
        <f t="shared" si="13"/>
        <v>1043.9033398259683</v>
      </c>
      <c r="Q163" s="168">
        <f t="shared" si="14"/>
        <v>2741.666666666667</v>
      </c>
      <c r="R163" s="168">
        <f t="shared" si="15"/>
        <v>3383.3333333333335</v>
      </c>
      <c r="S163" s="168">
        <f t="shared" si="16"/>
        <v>2408.3333333333335</v>
      </c>
      <c r="T163" s="168">
        <f t="shared" si="17"/>
        <v>5791.666666666667</v>
      </c>
      <c r="U163" s="168">
        <f t="shared" si="18"/>
        <v>4433.3333333333339</v>
      </c>
      <c r="V163" s="168">
        <f t="shared" si="19"/>
        <v>5308.3333333333339</v>
      </c>
      <c r="W163" s="168">
        <f t="shared" si="20"/>
        <v>7016.666666666667</v>
      </c>
      <c r="X163" s="168">
        <f t="shared" si="21"/>
        <v>6558.3333333333339</v>
      </c>
      <c r="Y163" s="168">
        <f t="shared" si="22"/>
        <v>7500</v>
      </c>
      <c r="Z163" s="190">
        <f t="array" ref="Z163">MIN(IF(Q163:Y163&gt;P163,Q163:Y163))</f>
        <v>2408.3333333333335</v>
      </c>
      <c r="AA163" s="184">
        <f t="shared" si="2"/>
        <v>1803.1057687903087</v>
      </c>
      <c r="AB163" s="168">
        <f t="shared" si="23"/>
        <v>6581.8181818181811</v>
      </c>
      <c r="AC163" s="187" t="str">
        <f t="shared" si="24"/>
        <v/>
      </c>
      <c r="AD163" s="187" t="str">
        <f t="shared" si="25"/>
        <v/>
      </c>
      <c r="AE163" s="187" t="str">
        <f t="shared" si="26"/>
        <v/>
      </c>
      <c r="AF163" s="187" t="str">
        <f t="shared" si="27"/>
        <v/>
      </c>
      <c r="AG163" s="187" t="str">
        <f t="shared" si="34"/>
        <v>Casing 5</v>
      </c>
      <c r="AH163" s="187" t="str">
        <f t="shared" si="28"/>
        <v/>
      </c>
      <c r="AI163" s="187" t="str">
        <f t="shared" si="29"/>
        <v/>
      </c>
      <c r="AJ163" s="187" t="str">
        <f t="shared" si="30"/>
        <v/>
      </c>
      <c r="AK163" s="187" t="str">
        <f t="shared" si="31"/>
        <v/>
      </c>
      <c r="AL163" s="187" t="str">
        <f t="shared" si="38"/>
        <v>Casing 5</v>
      </c>
      <c r="AM163" s="193">
        <f t="shared" si="35"/>
        <v>5.9980000000000002</v>
      </c>
      <c r="AN163" s="194">
        <f t="shared" si="36"/>
        <v>80000</v>
      </c>
      <c r="AO163" s="194">
        <f t="shared" si="37"/>
        <v>460000</v>
      </c>
      <c r="AP163" s="189">
        <f t="shared" si="39"/>
        <v>2.1106306966192099</v>
      </c>
      <c r="AQ163" s="189">
        <f t="shared" si="40"/>
        <v>2.0233622049950744</v>
      </c>
      <c r="BE163" s="12"/>
    </row>
    <row r="164" spans="1:57">
      <c r="A164" s="184">
        <f t="shared" si="0"/>
        <v>1915.9855787136376</v>
      </c>
      <c r="B164" s="172">
        <f t="shared" si="32"/>
        <v>219663.39770749409</v>
      </c>
      <c r="C164" s="181">
        <f t="shared" si="33"/>
        <v>1915.9855787136376</v>
      </c>
      <c r="D164" s="168">
        <f t="shared" si="3"/>
        <v>6344.5312493874399</v>
      </c>
      <c r="E164" s="168">
        <f t="shared" si="4"/>
        <v>3963.6363636363635</v>
      </c>
      <c r="F164" s="168">
        <f t="shared" si="5"/>
        <v>4527.272727272727</v>
      </c>
      <c r="G164" s="168">
        <f t="shared" si="6"/>
        <v>3763.6363636363635</v>
      </c>
      <c r="H164" s="168">
        <f t="shared" si="7"/>
        <v>7381.8181818181811</v>
      </c>
      <c r="I164" s="168">
        <f t="shared" si="8"/>
        <v>6581.8181818181811</v>
      </c>
      <c r="J164" s="168">
        <f t="shared" si="9"/>
        <v>7418.181818181818</v>
      </c>
      <c r="K164" s="168">
        <f t="shared" si="10"/>
        <v>9054.545454545454</v>
      </c>
      <c r="L164" s="168">
        <f t="shared" si="11"/>
        <v>9872.7272727272721</v>
      </c>
      <c r="M164" s="168">
        <f t="shared" si="12"/>
        <v>10909.090909090908</v>
      </c>
      <c r="N164" s="168">
        <f t="array" ref="N164">MIN(IF(E164:M164&gt;D164,E164:M164))</f>
        <v>6581.8181818181811</v>
      </c>
      <c r="O164" s="184">
        <f t="shared" si="1"/>
        <v>1915.9855787136376</v>
      </c>
      <c r="P164" s="168">
        <f t="shared" si="13"/>
        <v>1109.2548087289481</v>
      </c>
      <c r="Q164" s="168">
        <f t="shared" si="14"/>
        <v>2741.666666666667</v>
      </c>
      <c r="R164" s="168">
        <f t="shared" si="15"/>
        <v>3383.3333333333335</v>
      </c>
      <c r="S164" s="168">
        <f t="shared" si="16"/>
        <v>2408.3333333333335</v>
      </c>
      <c r="T164" s="168">
        <f t="shared" si="17"/>
        <v>5791.666666666667</v>
      </c>
      <c r="U164" s="168">
        <f t="shared" si="18"/>
        <v>4433.3333333333339</v>
      </c>
      <c r="V164" s="168">
        <f t="shared" si="19"/>
        <v>5308.3333333333339</v>
      </c>
      <c r="W164" s="168">
        <f t="shared" si="20"/>
        <v>7016.666666666667</v>
      </c>
      <c r="X164" s="168">
        <f t="shared" si="21"/>
        <v>6558.3333333333339</v>
      </c>
      <c r="Y164" s="168">
        <f t="shared" si="22"/>
        <v>7500</v>
      </c>
      <c r="Z164" s="190">
        <f t="array" ref="Z164">MIN(IF(Q164:Y164&gt;P164,Q164:Y164))</f>
        <v>2408.3333333333335</v>
      </c>
      <c r="AA164" s="184">
        <f t="shared" si="2"/>
        <v>1915.9855787136376</v>
      </c>
      <c r="AB164" s="168">
        <f t="shared" si="23"/>
        <v>6581.8181818181811</v>
      </c>
      <c r="AC164" s="187" t="str">
        <f t="shared" si="24"/>
        <v/>
      </c>
      <c r="AD164" s="187" t="str">
        <f t="shared" si="25"/>
        <v/>
      </c>
      <c r="AE164" s="187" t="str">
        <f t="shared" si="26"/>
        <v/>
      </c>
      <c r="AF164" s="187" t="str">
        <f t="shared" si="27"/>
        <v/>
      </c>
      <c r="AG164" s="187" t="str">
        <f t="shared" si="34"/>
        <v>Casing 5</v>
      </c>
      <c r="AH164" s="187" t="str">
        <f t="shared" si="28"/>
        <v/>
      </c>
      <c r="AI164" s="187" t="str">
        <f t="shared" si="29"/>
        <v/>
      </c>
      <c r="AJ164" s="187" t="str">
        <f t="shared" si="30"/>
        <v/>
      </c>
      <c r="AK164" s="187" t="str">
        <f t="shared" si="31"/>
        <v/>
      </c>
      <c r="AL164" s="187" t="str">
        <f t="shared" si="38"/>
        <v>Casing 5</v>
      </c>
      <c r="AM164" s="193">
        <f t="shared" si="35"/>
        <v>5.9980000000000002</v>
      </c>
      <c r="AN164" s="194">
        <f t="shared" si="36"/>
        <v>80000</v>
      </c>
      <c r="AO164" s="194">
        <f t="shared" si="37"/>
        <v>460000</v>
      </c>
      <c r="AP164" s="189">
        <f t="shared" si="39"/>
        <v>2.1844331145189679</v>
      </c>
      <c r="AQ164" s="189">
        <f t="shared" si="40"/>
        <v>2.094113105782605</v>
      </c>
      <c r="BE164" s="12"/>
    </row>
    <row r="165" spans="1:57">
      <c r="A165" s="184">
        <f t="shared" si="0"/>
        <v>2028.8625841872074</v>
      </c>
      <c r="B165" s="172">
        <f t="shared" si="32"/>
        <v>212045.16900037974</v>
      </c>
      <c r="C165" s="181">
        <f t="shared" si="33"/>
        <v>2028.8625841872074</v>
      </c>
      <c r="D165" s="168">
        <f t="shared" si="3"/>
        <v>6305.9154317254288</v>
      </c>
      <c r="E165" s="168">
        <f t="shared" si="4"/>
        <v>3963.6363636363635</v>
      </c>
      <c r="F165" s="168">
        <f t="shared" si="5"/>
        <v>4527.272727272727</v>
      </c>
      <c r="G165" s="168">
        <f t="shared" si="6"/>
        <v>3763.6363636363635</v>
      </c>
      <c r="H165" s="168">
        <f t="shared" si="7"/>
        <v>7381.8181818181811</v>
      </c>
      <c r="I165" s="168">
        <f t="shared" si="8"/>
        <v>6581.8181818181811</v>
      </c>
      <c r="J165" s="168">
        <f t="shared" si="9"/>
        <v>7418.181818181818</v>
      </c>
      <c r="K165" s="168">
        <f t="shared" si="10"/>
        <v>9054.545454545454</v>
      </c>
      <c r="L165" s="168">
        <f t="shared" si="11"/>
        <v>9872.7272727272721</v>
      </c>
      <c r="M165" s="168">
        <f t="shared" si="12"/>
        <v>10909.090909090908</v>
      </c>
      <c r="N165" s="168">
        <f t="array" ref="N165">MIN(IF(E165:M165&gt;D165,E165:M165))</f>
        <v>6581.8181818181811</v>
      </c>
      <c r="O165" s="184">
        <f t="shared" si="1"/>
        <v>2028.8625841872074</v>
      </c>
      <c r="P165" s="168">
        <f t="shared" si="13"/>
        <v>1174.6046540031202</v>
      </c>
      <c r="Q165" s="168">
        <f t="shared" si="14"/>
        <v>2741.666666666667</v>
      </c>
      <c r="R165" s="168">
        <f t="shared" si="15"/>
        <v>3383.3333333333335</v>
      </c>
      <c r="S165" s="168">
        <f t="shared" si="16"/>
        <v>2408.3333333333335</v>
      </c>
      <c r="T165" s="168">
        <f t="shared" si="17"/>
        <v>5791.666666666667</v>
      </c>
      <c r="U165" s="168">
        <f t="shared" si="18"/>
        <v>4433.3333333333339</v>
      </c>
      <c r="V165" s="168">
        <f t="shared" si="19"/>
        <v>5308.3333333333339</v>
      </c>
      <c r="W165" s="168">
        <f t="shared" si="20"/>
        <v>7016.666666666667</v>
      </c>
      <c r="X165" s="168">
        <f t="shared" si="21"/>
        <v>6558.3333333333339</v>
      </c>
      <c r="Y165" s="168">
        <f t="shared" si="22"/>
        <v>7500</v>
      </c>
      <c r="Z165" s="190">
        <f t="array" ref="Z165">MIN(IF(Q165:Y165&gt;P165,Q165:Y165))</f>
        <v>2408.3333333333335</v>
      </c>
      <c r="AA165" s="184">
        <f t="shared" si="2"/>
        <v>2028.8625841872074</v>
      </c>
      <c r="AB165" s="168">
        <f t="shared" si="23"/>
        <v>6581.8181818181811</v>
      </c>
      <c r="AC165" s="187" t="str">
        <f t="shared" si="24"/>
        <v/>
      </c>
      <c r="AD165" s="187" t="str">
        <f t="shared" si="25"/>
        <v/>
      </c>
      <c r="AE165" s="187" t="str">
        <f t="shared" si="26"/>
        <v/>
      </c>
      <c r="AF165" s="187" t="str">
        <f t="shared" si="27"/>
        <v/>
      </c>
      <c r="AG165" s="187" t="str">
        <f t="shared" si="34"/>
        <v>Casing 5</v>
      </c>
      <c r="AH165" s="187" t="str">
        <f t="shared" si="28"/>
        <v/>
      </c>
      <c r="AI165" s="187" t="str">
        <f t="shared" si="29"/>
        <v/>
      </c>
      <c r="AJ165" s="187" t="str">
        <f t="shared" si="30"/>
        <v/>
      </c>
      <c r="AK165" s="187" t="str">
        <f t="shared" si="31"/>
        <v/>
      </c>
      <c r="AL165" s="187" t="str">
        <f t="shared" si="38"/>
        <v>Casing 5</v>
      </c>
      <c r="AM165" s="193">
        <f t="shared" si="35"/>
        <v>5.9980000000000002</v>
      </c>
      <c r="AN165" s="194">
        <f t="shared" si="36"/>
        <v>80000</v>
      </c>
      <c r="AO165" s="194">
        <f t="shared" si="37"/>
        <v>460000</v>
      </c>
      <c r="AP165" s="189">
        <f t="shared" si="39"/>
        <v>2.2629140869469215</v>
      </c>
      <c r="AQ165" s="189">
        <f t="shared" si="40"/>
        <v>2.1693491163629206</v>
      </c>
      <c r="BE165" s="12"/>
    </row>
    <row r="166" spans="1:57">
      <c r="A166" s="184">
        <f t="shared" ref="A166:A197" si="41">O166</f>
        <v>2141.7365047928652</v>
      </c>
      <c r="B166" s="172">
        <f t="shared" si="32"/>
        <v>204489.68423515945</v>
      </c>
      <c r="C166" s="181">
        <f t="shared" si="33"/>
        <v>2141.7365047928652</v>
      </c>
      <c r="D166" s="168">
        <f t="shared" si="3"/>
        <v>6267.3006694129672</v>
      </c>
      <c r="E166" s="168">
        <f t="shared" si="4"/>
        <v>3963.6363636363635</v>
      </c>
      <c r="F166" s="168">
        <f t="shared" si="5"/>
        <v>4527.272727272727</v>
      </c>
      <c r="G166" s="168">
        <f t="shared" si="6"/>
        <v>3763.6363636363635</v>
      </c>
      <c r="H166" s="168">
        <f t="shared" si="7"/>
        <v>7381.8181818181811</v>
      </c>
      <c r="I166" s="168">
        <f t="shared" si="8"/>
        <v>6581.8181818181811</v>
      </c>
      <c r="J166" s="168">
        <f t="shared" si="9"/>
        <v>7418.181818181818</v>
      </c>
      <c r="K166" s="168">
        <f t="shared" si="10"/>
        <v>9054.545454545454</v>
      </c>
      <c r="L166" s="168">
        <f t="shared" si="11"/>
        <v>9872.7272727272721</v>
      </c>
      <c r="M166" s="168">
        <f t="shared" si="12"/>
        <v>10909.090909090908</v>
      </c>
      <c r="N166" s="168">
        <f t="array" ref="N166">MIN(IF(E166:M166&gt;D166,E166:M166))</f>
        <v>6581.8181818181811</v>
      </c>
      <c r="O166" s="184">
        <f t="shared" ref="O166:O197" si="42">C166</f>
        <v>2141.7365047928652</v>
      </c>
      <c r="P166" s="168">
        <f t="shared" si="13"/>
        <v>1239.9527133011325</v>
      </c>
      <c r="Q166" s="168">
        <f t="shared" si="14"/>
        <v>2741.666666666667</v>
      </c>
      <c r="R166" s="168">
        <f t="shared" si="15"/>
        <v>3383.3333333333335</v>
      </c>
      <c r="S166" s="168">
        <f t="shared" si="16"/>
        <v>2408.3333333333335</v>
      </c>
      <c r="T166" s="168">
        <f t="shared" si="17"/>
        <v>5791.666666666667</v>
      </c>
      <c r="U166" s="168">
        <f t="shared" si="18"/>
        <v>4433.3333333333339</v>
      </c>
      <c r="V166" s="168">
        <f t="shared" si="19"/>
        <v>5308.3333333333339</v>
      </c>
      <c r="W166" s="168">
        <f t="shared" si="20"/>
        <v>7016.666666666667</v>
      </c>
      <c r="X166" s="168">
        <f t="shared" si="21"/>
        <v>6558.3333333333339</v>
      </c>
      <c r="Y166" s="168">
        <f t="shared" si="22"/>
        <v>7500</v>
      </c>
      <c r="Z166" s="190">
        <f t="array" ref="Z166">MIN(IF(Q166:Y166&gt;P166,Q166:Y166))</f>
        <v>2408.3333333333335</v>
      </c>
      <c r="AA166" s="184">
        <f t="shared" ref="AA166:AA197" si="43">O166</f>
        <v>2141.7365047928652</v>
      </c>
      <c r="AB166" s="168">
        <f t="shared" si="23"/>
        <v>6581.8181818181811</v>
      </c>
      <c r="AC166" s="187" t="str">
        <f t="shared" si="24"/>
        <v/>
      </c>
      <c r="AD166" s="187" t="str">
        <f t="shared" si="25"/>
        <v/>
      </c>
      <c r="AE166" s="187" t="str">
        <f t="shared" si="26"/>
        <v/>
      </c>
      <c r="AF166" s="187" t="str">
        <f t="shared" si="27"/>
        <v/>
      </c>
      <c r="AG166" s="187" t="str">
        <f t="shared" si="34"/>
        <v>Casing 5</v>
      </c>
      <c r="AH166" s="187" t="str">
        <f t="shared" si="28"/>
        <v/>
      </c>
      <c r="AI166" s="187" t="str">
        <f t="shared" si="29"/>
        <v/>
      </c>
      <c r="AJ166" s="187" t="str">
        <f t="shared" si="30"/>
        <v/>
      </c>
      <c r="AK166" s="187" t="str">
        <f t="shared" si="31"/>
        <v/>
      </c>
      <c r="AL166" s="187" t="str">
        <f t="shared" si="38"/>
        <v>Casing 5</v>
      </c>
      <c r="AM166" s="193">
        <f t="shared" si="35"/>
        <v>5.9980000000000002</v>
      </c>
      <c r="AN166" s="194">
        <f t="shared" si="36"/>
        <v>80000</v>
      </c>
      <c r="AO166" s="194">
        <f t="shared" si="37"/>
        <v>460000</v>
      </c>
      <c r="AP166" s="189">
        <f t="shared" si="39"/>
        <v>2.3465242356587175</v>
      </c>
      <c r="AQ166" s="189">
        <f t="shared" si="40"/>
        <v>2.2495022265817979</v>
      </c>
      <c r="BE166" s="12"/>
    </row>
    <row r="167" spans="1:57">
      <c r="A167" s="184">
        <f t="shared" si="41"/>
        <v>2254.6070601201227</v>
      </c>
      <c r="B167" s="172">
        <f t="shared" si="32"/>
        <v>196996.94651144513</v>
      </c>
      <c r="C167" s="181">
        <f t="shared" si="33"/>
        <v>2254.6070601201227</v>
      </c>
      <c r="D167" s="168">
        <f t="shared" ref="D167:D198" si="44">(C167-$D$128)/$B$128</f>
        <v>6228.6870583799591</v>
      </c>
      <c r="E167" s="168">
        <f t="shared" ref="E167:E198" si="45">$F$113/$G$125</f>
        <v>3963.6363636363635</v>
      </c>
      <c r="F167" s="168">
        <f t="shared" ref="F167:F198" si="46">$F$114/$G$125</f>
        <v>4527.272727272727</v>
      </c>
      <c r="G167" s="168">
        <f t="shared" ref="G167:G198" si="47">$F$115/$G$125</f>
        <v>3763.6363636363635</v>
      </c>
      <c r="H167" s="168">
        <f t="shared" ref="H167:H198" si="48">$F$116/$G$125</f>
        <v>7381.8181818181811</v>
      </c>
      <c r="I167" s="168">
        <f t="shared" ref="I167:I198" si="49">$F$117/$G$125</f>
        <v>6581.8181818181811</v>
      </c>
      <c r="J167" s="168">
        <f t="shared" ref="J167:J198" si="50">$F$118/$G$125</f>
        <v>7418.181818181818</v>
      </c>
      <c r="K167" s="168">
        <f t="shared" ref="K167:K198" si="51">$F$119/$G$125</f>
        <v>9054.545454545454</v>
      </c>
      <c r="L167" s="168">
        <f t="shared" ref="L167:L198" si="52">$F$120/$G$125</f>
        <v>9872.7272727272721</v>
      </c>
      <c r="M167" s="168">
        <f t="shared" ref="M167:M198" si="53">$F$121/$G$125</f>
        <v>10909.090909090908</v>
      </c>
      <c r="N167" s="168">
        <f t="array" ref="N167">MIN(IF(E167:M167&gt;D167,E167:M167))</f>
        <v>6581.8181818181811</v>
      </c>
      <c r="O167" s="184">
        <f t="shared" si="42"/>
        <v>2254.6070601201227</v>
      </c>
      <c r="P167" s="168">
        <f t="shared" ref="P167:P198" si="54">(1/$B$127)*O167</f>
        <v>1305.2988242800711</v>
      </c>
      <c r="Q167" s="168">
        <f t="shared" ref="Q167:Q198" si="55">$E$113/$G$124</f>
        <v>2741.666666666667</v>
      </c>
      <c r="R167" s="168">
        <f t="shared" ref="R167:R198" si="56">$E$114/$G$124</f>
        <v>3383.3333333333335</v>
      </c>
      <c r="S167" s="168">
        <f t="shared" ref="S167:S198" si="57">$E$115/$G$124</f>
        <v>2408.3333333333335</v>
      </c>
      <c r="T167" s="168">
        <f t="shared" ref="T167:T198" si="58">$E$116/$G$124</f>
        <v>5791.666666666667</v>
      </c>
      <c r="U167" s="168">
        <f t="shared" ref="U167:U198" si="59">$E$117/$G$124</f>
        <v>4433.3333333333339</v>
      </c>
      <c r="V167" s="168">
        <f t="shared" ref="V167:V198" si="60">$E$118/$G$124</f>
        <v>5308.3333333333339</v>
      </c>
      <c r="W167" s="168">
        <f t="shared" ref="W167:W198" si="61">$E$119/$G$124</f>
        <v>7016.666666666667</v>
      </c>
      <c r="X167" s="168">
        <f t="shared" ref="X167:X198" si="62">$E$120/$G$124</f>
        <v>6558.3333333333339</v>
      </c>
      <c r="Y167" s="168">
        <f t="shared" ref="Y167:Y198" si="63">$E$121/$G$124</f>
        <v>7500</v>
      </c>
      <c r="Z167" s="190">
        <f t="array" ref="Z167">MIN(IF(Q167:Y167&gt;P167,Q167:Y167))</f>
        <v>2408.3333333333335</v>
      </c>
      <c r="AA167" s="184">
        <f t="shared" si="43"/>
        <v>2254.6070601201227</v>
      </c>
      <c r="AB167" s="168">
        <f t="shared" ref="AB167:AB198" si="64">MAX(N167,Z167)</f>
        <v>6581.8181818181811</v>
      </c>
      <c r="AC167" s="187" t="str">
        <f t="shared" ref="AC167:AC198" si="65">IF(OR(E167=AB167,Q167=AB167),$E$134,"")</f>
        <v/>
      </c>
      <c r="AD167" s="187" t="str">
        <f t="shared" ref="AD167:AD198" si="66">IF(OR(F167=AB167,R167=AB167),$F$134,"")</f>
        <v/>
      </c>
      <c r="AE167" s="187" t="str">
        <f t="shared" ref="AE167:AE198" si="67">IF(OR(G167=AB167,S167=AB167),$G$134,"")</f>
        <v/>
      </c>
      <c r="AF167" s="187" t="str">
        <f t="shared" ref="AF167:AF198" si="68">IF(OR(H167=AB167,T167=AB167),$H$134,"")</f>
        <v/>
      </c>
      <c r="AG167" s="187" t="str">
        <f t="shared" si="34"/>
        <v>Casing 5</v>
      </c>
      <c r="AH167" s="187" t="str">
        <f t="shared" ref="AH167:AH198" si="69">IF(OR(J167=AB167,V167=AB167),$J$134,"")</f>
        <v/>
      </c>
      <c r="AI167" s="187" t="str">
        <f t="shared" ref="AI167:AI198" si="70">IF(OR(K167=AB167,W167=AB167),$K$134,"")</f>
        <v/>
      </c>
      <c r="AJ167" s="187" t="str">
        <f t="shared" ref="AJ167:AJ198" si="71">IF(OR(L167=AB167,Y167=AB167),$L$134,"")</f>
        <v/>
      </c>
      <c r="AK167" s="187" t="str">
        <f t="shared" ref="AK167:AK198" si="72">IF(OR(M167=AB167,Y167=AB167),$M$134,"")</f>
        <v/>
      </c>
      <c r="AL167" s="187" t="str">
        <f t="shared" si="38"/>
        <v>Casing 5</v>
      </c>
      <c r="AM167" s="193">
        <f t="shared" si="35"/>
        <v>5.9980000000000002</v>
      </c>
      <c r="AN167" s="194">
        <f t="shared" si="36"/>
        <v>80000</v>
      </c>
      <c r="AO167" s="194">
        <f t="shared" si="37"/>
        <v>460000</v>
      </c>
      <c r="AP167" s="189">
        <f t="shared" si="39"/>
        <v>2.4357737949614475</v>
      </c>
      <c r="AQ167" s="189">
        <f t="shared" si="40"/>
        <v>2.335061574029397</v>
      </c>
      <c r="BE167" s="12"/>
    </row>
    <row r="168" spans="1:57">
      <c r="A168" s="184">
        <f t="shared" si="41"/>
        <v>2367.4739697668506</v>
      </c>
      <c r="B168" s="172">
        <f t="shared" ref="B168:B199" si="73">AX47</f>
        <v>189566.95881709061</v>
      </c>
      <c r="C168" s="181">
        <f t="shared" ref="C168:C199" si="74">K47</f>
        <v>2367.4739697668506</v>
      </c>
      <c r="D168" s="168">
        <f t="shared" si="44"/>
        <v>6190.0746945534456</v>
      </c>
      <c r="E168" s="168">
        <f t="shared" si="45"/>
        <v>3963.6363636363635</v>
      </c>
      <c r="F168" s="168">
        <f t="shared" si="46"/>
        <v>4527.272727272727</v>
      </c>
      <c r="G168" s="168">
        <f t="shared" si="47"/>
        <v>3763.6363636363635</v>
      </c>
      <c r="H168" s="168">
        <f t="shared" si="48"/>
        <v>7381.8181818181811</v>
      </c>
      <c r="I168" s="168">
        <f t="shared" si="49"/>
        <v>6581.8181818181811</v>
      </c>
      <c r="J168" s="168">
        <f t="shared" si="50"/>
        <v>7418.181818181818</v>
      </c>
      <c r="K168" s="168">
        <f t="shared" si="51"/>
        <v>9054.545454545454</v>
      </c>
      <c r="L168" s="168">
        <f t="shared" si="52"/>
        <v>9872.7272727272721</v>
      </c>
      <c r="M168" s="168">
        <f t="shared" si="53"/>
        <v>10909.090909090908</v>
      </c>
      <c r="N168" s="168">
        <f t="array" ref="N168">MIN(IF(E168:M168&gt;D168,E168:M168))</f>
        <v>6581.8181818181811</v>
      </c>
      <c r="O168" s="184">
        <f t="shared" si="42"/>
        <v>2367.4739697668506</v>
      </c>
      <c r="P168" s="168">
        <f t="shared" si="54"/>
        <v>1370.6428246018609</v>
      </c>
      <c r="Q168" s="168">
        <f t="shared" si="55"/>
        <v>2741.666666666667</v>
      </c>
      <c r="R168" s="168">
        <f t="shared" si="56"/>
        <v>3383.3333333333335</v>
      </c>
      <c r="S168" s="168">
        <f t="shared" si="57"/>
        <v>2408.3333333333335</v>
      </c>
      <c r="T168" s="168">
        <f t="shared" si="58"/>
        <v>5791.666666666667</v>
      </c>
      <c r="U168" s="168">
        <f t="shared" si="59"/>
        <v>4433.3333333333339</v>
      </c>
      <c r="V168" s="168">
        <f t="shared" si="60"/>
        <v>5308.3333333333339</v>
      </c>
      <c r="W168" s="168">
        <f t="shared" si="61"/>
        <v>7016.666666666667</v>
      </c>
      <c r="X168" s="168">
        <f t="shared" si="62"/>
        <v>6558.3333333333339</v>
      </c>
      <c r="Y168" s="168">
        <f t="shared" si="63"/>
        <v>7500</v>
      </c>
      <c r="Z168" s="190">
        <f t="array" ref="Z168">MIN(IF(Q168:Y168&gt;P168,Q168:Y168))</f>
        <v>2408.3333333333335</v>
      </c>
      <c r="AA168" s="184">
        <f t="shared" si="43"/>
        <v>2367.4739697668506</v>
      </c>
      <c r="AB168" s="168">
        <f t="shared" si="64"/>
        <v>6581.8181818181811</v>
      </c>
      <c r="AC168" s="187" t="str">
        <f t="shared" si="65"/>
        <v/>
      </c>
      <c r="AD168" s="187" t="str">
        <f t="shared" si="66"/>
        <v/>
      </c>
      <c r="AE168" s="187" t="str">
        <f t="shared" si="67"/>
        <v/>
      </c>
      <c r="AF168" s="187" t="str">
        <f t="shared" si="68"/>
        <v/>
      </c>
      <c r="AG168" s="187" t="str">
        <f t="shared" si="34"/>
        <v>Casing 5</v>
      </c>
      <c r="AH168" s="187" t="str">
        <f t="shared" si="69"/>
        <v/>
      </c>
      <c r="AI168" s="187" t="str">
        <f t="shared" si="70"/>
        <v/>
      </c>
      <c r="AJ168" s="187" t="str">
        <f t="shared" si="71"/>
        <v/>
      </c>
      <c r="AK168" s="187" t="str">
        <f t="shared" si="72"/>
        <v/>
      </c>
      <c r="AL168" s="187" t="str">
        <f t="shared" si="38"/>
        <v>Casing 5</v>
      </c>
      <c r="AM168" s="193">
        <f t="shared" si="35"/>
        <v>5.9980000000000002</v>
      </c>
      <c r="AN168" s="194">
        <f t="shared" si="36"/>
        <v>80000</v>
      </c>
      <c r="AO168" s="194">
        <f t="shared" si="37"/>
        <v>460000</v>
      </c>
      <c r="AP168" s="189">
        <f t="shared" si="39"/>
        <v>2.5312428019852766</v>
      </c>
      <c r="AQ168" s="189">
        <f t="shared" si="40"/>
        <v>2.4265832129735481</v>
      </c>
      <c r="BE168" s="12"/>
    </row>
    <row r="169" spans="1:57">
      <c r="A169" s="184">
        <f t="shared" si="41"/>
        <v>2480.3369533399778</v>
      </c>
      <c r="B169" s="172">
        <f t="shared" si="73"/>
        <v>182199.72402818361</v>
      </c>
      <c r="C169" s="181">
        <f t="shared" si="74"/>
        <v>2480.3369533399778</v>
      </c>
      <c r="D169" s="168">
        <f t="shared" si="44"/>
        <v>6151.4636738573763</v>
      </c>
      <c r="E169" s="168">
        <f t="shared" si="45"/>
        <v>3963.6363636363635</v>
      </c>
      <c r="F169" s="168">
        <f t="shared" si="46"/>
        <v>4527.272727272727</v>
      </c>
      <c r="G169" s="168">
        <f t="shared" si="47"/>
        <v>3763.6363636363635</v>
      </c>
      <c r="H169" s="168">
        <f t="shared" si="48"/>
        <v>7381.8181818181811</v>
      </c>
      <c r="I169" s="168">
        <f t="shared" si="49"/>
        <v>6581.8181818181811</v>
      </c>
      <c r="J169" s="168">
        <f t="shared" si="50"/>
        <v>7418.181818181818</v>
      </c>
      <c r="K169" s="168">
        <f t="shared" si="51"/>
        <v>9054.545454545454</v>
      </c>
      <c r="L169" s="168">
        <f t="shared" si="52"/>
        <v>9872.7272727272721</v>
      </c>
      <c r="M169" s="168">
        <f t="shared" si="53"/>
        <v>10909.090909090908</v>
      </c>
      <c r="N169" s="168">
        <f t="array" ref="N169">MIN(IF(E169:M169&gt;D169,E169:M169))</f>
        <v>6581.8181818181811</v>
      </c>
      <c r="O169" s="184">
        <f t="shared" si="42"/>
        <v>2480.3369533399778</v>
      </c>
      <c r="P169" s="168">
        <f t="shared" si="54"/>
        <v>1435.9845519336714</v>
      </c>
      <c r="Q169" s="168">
        <f t="shared" si="55"/>
        <v>2741.666666666667</v>
      </c>
      <c r="R169" s="168">
        <f t="shared" si="56"/>
        <v>3383.3333333333335</v>
      </c>
      <c r="S169" s="168">
        <f t="shared" si="57"/>
        <v>2408.3333333333335</v>
      </c>
      <c r="T169" s="168">
        <f t="shared" si="58"/>
        <v>5791.666666666667</v>
      </c>
      <c r="U169" s="168">
        <f t="shared" si="59"/>
        <v>4433.3333333333339</v>
      </c>
      <c r="V169" s="168">
        <f t="shared" si="60"/>
        <v>5308.3333333333339</v>
      </c>
      <c r="W169" s="168">
        <f t="shared" si="61"/>
        <v>7016.666666666667</v>
      </c>
      <c r="X169" s="168">
        <f t="shared" si="62"/>
        <v>6558.3333333333339</v>
      </c>
      <c r="Y169" s="168">
        <f t="shared" si="63"/>
        <v>7500</v>
      </c>
      <c r="Z169" s="190">
        <f t="array" ref="Z169">MIN(IF(Q169:Y169&gt;P169,Q169:Y169))</f>
        <v>2408.3333333333335</v>
      </c>
      <c r="AA169" s="184">
        <f t="shared" si="43"/>
        <v>2480.3369533399778</v>
      </c>
      <c r="AB169" s="168">
        <f t="shared" si="64"/>
        <v>6581.8181818181811</v>
      </c>
      <c r="AC169" s="187" t="str">
        <f t="shared" si="65"/>
        <v/>
      </c>
      <c r="AD169" s="187" t="str">
        <f t="shared" si="66"/>
        <v/>
      </c>
      <c r="AE169" s="187" t="str">
        <f t="shared" si="67"/>
        <v/>
      </c>
      <c r="AF169" s="187" t="str">
        <f t="shared" si="68"/>
        <v/>
      </c>
      <c r="AG169" s="187" t="str">
        <f t="shared" si="34"/>
        <v>Casing 5</v>
      </c>
      <c r="AH169" s="187" t="str">
        <f t="shared" si="69"/>
        <v/>
      </c>
      <c r="AI169" s="187" t="str">
        <f t="shared" si="70"/>
        <v/>
      </c>
      <c r="AJ169" s="187" t="str">
        <f t="shared" si="71"/>
        <v/>
      </c>
      <c r="AK169" s="187" t="str">
        <f t="shared" si="72"/>
        <v/>
      </c>
      <c r="AL169" s="187" t="str">
        <f t="shared" si="38"/>
        <v>Casing 5</v>
      </c>
      <c r="AM169" s="193">
        <f t="shared" si="35"/>
        <v>5.9980000000000002</v>
      </c>
      <c r="AN169" s="194">
        <f t="shared" si="36"/>
        <v>80000</v>
      </c>
      <c r="AO169" s="194">
        <f t="shared" si="37"/>
        <v>460000</v>
      </c>
      <c r="AP169" s="189">
        <f t="shared" si="39"/>
        <v>2.6335934511392334</v>
      </c>
      <c r="AQ169" s="189">
        <f t="shared" si="40"/>
        <v>2.5247019579944303</v>
      </c>
      <c r="BE169" s="12"/>
    </row>
    <row r="170" spans="1:57">
      <c r="A170" s="184">
        <f t="shared" si="41"/>
        <v>2593.1957304561865</v>
      </c>
      <c r="B170" s="172">
        <f t="shared" si="73"/>
        <v>174895.24490903661</v>
      </c>
      <c r="C170" s="181">
        <f t="shared" si="74"/>
        <v>2593.1957304561865</v>
      </c>
      <c r="D170" s="168">
        <f t="shared" si="44"/>
        <v>6112.8540922123575</v>
      </c>
      <c r="E170" s="168">
        <f t="shared" si="45"/>
        <v>3963.6363636363635</v>
      </c>
      <c r="F170" s="168">
        <f t="shared" si="46"/>
        <v>4527.272727272727</v>
      </c>
      <c r="G170" s="168">
        <f t="shared" si="47"/>
        <v>3763.6363636363635</v>
      </c>
      <c r="H170" s="168">
        <f t="shared" si="48"/>
        <v>7381.8181818181811</v>
      </c>
      <c r="I170" s="168">
        <f t="shared" si="49"/>
        <v>6581.8181818181811</v>
      </c>
      <c r="J170" s="168">
        <f t="shared" si="50"/>
        <v>7418.181818181818</v>
      </c>
      <c r="K170" s="168">
        <f t="shared" si="51"/>
        <v>9054.545454545454</v>
      </c>
      <c r="L170" s="168">
        <f t="shared" si="52"/>
        <v>9872.7272727272721</v>
      </c>
      <c r="M170" s="168">
        <f t="shared" si="53"/>
        <v>10909.090909090908</v>
      </c>
      <c r="N170" s="168">
        <f t="array" ref="N170">MIN(IF(E170:M170&gt;D170,E170:M170))</f>
        <v>6581.8181818181811</v>
      </c>
      <c r="O170" s="184">
        <f t="shared" si="42"/>
        <v>2593.1957304561865</v>
      </c>
      <c r="P170" s="168">
        <f t="shared" si="54"/>
        <v>1501.3238439483187</v>
      </c>
      <c r="Q170" s="168">
        <f t="shared" si="55"/>
        <v>2741.666666666667</v>
      </c>
      <c r="R170" s="168">
        <f t="shared" si="56"/>
        <v>3383.3333333333335</v>
      </c>
      <c r="S170" s="168">
        <f t="shared" si="57"/>
        <v>2408.3333333333335</v>
      </c>
      <c r="T170" s="168">
        <f t="shared" si="58"/>
        <v>5791.666666666667</v>
      </c>
      <c r="U170" s="168">
        <f t="shared" si="59"/>
        <v>4433.3333333333339</v>
      </c>
      <c r="V170" s="168">
        <f t="shared" si="60"/>
        <v>5308.3333333333339</v>
      </c>
      <c r="W170" s="168">
        <f t="shared" si="61"/>
        <v>7016.666666666667</v>
      </c>
      <c r="X170" s="168">
        <f t="shared" si="62"/>
        <v>6558.3333333333339</v>
      </c>
      <c r="Y170" s="168">
        <f t="shared" si="63"/>
        <v>7500</v>
      </c>
      <c r="Z170" s="190">
        <f t="array" ref="Z170">MIN(IF(Q170:Y170&gt;P170,Q170:Y170))</f>
        <v>2408.3333333333335</v>
      </c>
      <c r="AA170" s="184">
        <f t="shared" si="43"/>
        <v>2593.1957304561865</v>
      </c>
      <c r="AB170" s="168">
        <f t="shared" si="64"/>
        <v>6581.8181818181811</v>
      </c>
      <c r="AC170" s="187" t="str">
        <f t="shared" si="65"/>
        <v/>
      </c>
      <c r="AD170" s="187" t="str">
        <f t="shared" si="66"/>
        <v/>
      </c>
      <c r="AE170" s="187" t="str">
        <f t="shared" si="67"/>
        <v/>
      </c>
      <c r="AF170" s="187" t="str">
        <f t="shared" si="68"/>
        <v/>
      </c>
      <c r="AG170" s="187" t="str">
        <f t="shared" si="34"/>
        <v>Casing 5</v>
      </c>
      <c r="AH170" s="187" t="str">
        <f t="shared" si="69"/>
        <v/>
      </c>
      <c r="AI170" s="187" t="str">
        <f t="shared" si="70"/>
        <v/>
      </c>
      <c r="AJ170" s="187" t="str">
        <f t="shared" si="71"/>
        <v/>
      </c>
      <c r="AK170" s="187" t="str">
        <f t="shared" si="72"/>
        <v/>
      </c>
      <c r="AL170" s="187" t="str">
        <f t="shared" si="38"/>
        <v>Casing 5</v>
      </c>
      <c r="AM170" s="193">
        <f t="shared" si="35"/>
        <v>5.9980000000000002</v>
      </c>
      <c r="AN170" s="194">
        <f t="shared" si="36"/>
        <v>80000</v>
      </c>
      <c r="AO170" s="194">
        <f t="shared" si="37"/>
        <v>460000</v>
      </c>
      <c r="AP170" s="189">
        <f t="shared" si="39"/>
        <v>2.7435851686509016</v>
      </c>
      <c r="AQ170" s="189">
        <f t="shared" si="40"/>
        <v>2.6301458352355263</v>
      </c>
      <c r="BE170" s="12"/>
    </row>
    <row r="171" spans="1:57">
      <c r="A171" s="184">
        <f t="shared" si="41"/>
        <v>2706.050020742608</v>
      </c>
      <c r="B171" s="172">
        <f t="shared" si="73"/>
        <v>167653.52411217708</v>
      </c>
      <c r="C171" s="181">
        <f t="shared" si="74"/>
        <v>2706.050020742608</v>
      </c>
      <c r="D171" s="168">
        <f t="shared" si="44"/>
        <v>6074.2460455354239</v>
      </c>
      <c r="E171" s="168">
        <f t="shared" si="45"/>
        <v>3963.6363636363635</v>
      </c>
      <c r="F171" s="168">
        <f t="shared" si="46"/>
        <v>4527.272727272727</v>
      </c>
      <c r="G171" s="168">
        <f t="shared" si="47"/>
        <v>3763.6363636363635</v>
      </c>
      <c r="H171" s="168">
        <f t="shared" si="48"/>
        <v>7381.8181818181811</v>
      </c>
      <c r="I171" s="168">
        <f t="shared" si="49"/>
        <v>6581.8181818181811</v>
      </c>
      <c r="J171" s="168">
        <f t="shared" si="50"/>
        <v>7418.181818181818</v>
      </c>
      <c r="K171" s="168">
        <f t="shared" si="51"/>
        <v>9054.545454545454</v>
      </c>
      <c r="L171" s="168">
        <f t="shared" si="52"/>
        <v>9872.7272727272721</v>
      </c>
      <c r="M171" s="168">
        <f t="shared" si="53"/>
        <v>10909.090909090908</v>
      </c>
      <c r="N171" s="168">
        <f t="array" ref="N171">MIN(IF(E171:M171&gt;D171,E171:M171))</f>
        <v>6581.8181818181811</v>
      </c>
      <c r="O171" s="184">
        <f t="shared" si="42"/>
        <v>2706.050020742608</v>
      </c>
      <c r="P171" s="168">
        <f t="shared" si="54"/>
        <v>1566.6605383246679</v>
      </c>
      <c r="Q171" s="168">
        <f t="shared" si="55"/>
        <v>2741.666666666667</v>
      </c>
      <c r="R171" s="168">
        <f t="shared" si="56"/>
        <v>3383.3333333333335</v>
      </c>
      <c r="S171" s="168">
        <f t="shared" si="57"/>
        <v>2408.3333333333335</v>
      </c>
      <c r="T171" s="168">
        <f t="shared" si="58"/>
        <v>5791.666666666667</v>
      </c>
      <c r="U171" s="168">
        <f t="shared" si="59"/>
        <v>4433.3333333333339</v>
      </c>
      <c r="V171" s="168">
        <f t="shared" si="60"/>
        <v>5308.3333333333339</v>
      </c>
      <c r="W171" s="168">
        <f t="shared" si="61"/>
        <v>7016.666666666667</v>
      </c>
      <c r="X171" s="168">
        <f t="shared" si="62"/>
        <v>6558.3333333333339</v>
      </c>
      <c r="Y171" s="168">
        <f t="shared" si="63"/>
        <v>7500</v>
      </c>
      <c r="Z171" s="190">
        <f t="array" ref="Z171">MIN(IF(Q171:Y171&gt;P171,Q171:Y171))</f>
        <v>2408.3333333333335</v>
      </c>
      <c r="AA171" s="184">
        <f t="shared" si="43"/>
        <v>2706.050020742608</v>
      </c>
      <c r="AB171" s="168">
        <f t="shared" si="64"/>
        <v>6581.8181818181811</v>
      </c>
      <c r="AC171" s="187" t="str">
        <f t="shared" si="65"/>
        <v/>
      </c>
      <c r="AD171" s="187" t="str">
        <f t="shared" si="66"/>
        <v/>
      </c>
      <c r="AE171" s="187" t="str">
        <f t="shared" si="67"/>
        <v/>
      </c>
      <c r="AF171" s="187" t="str">
        <f t="shared" si="68"/>
        <v/>
      </c>
      <c r="AG171" s="187" t="str">
        <f t="shared" si="34"/>
        <v>Casing 5</v>
      </c>
      <c r="AH171" s="187" t="str">
        <f t="shared" si="69"/>
        <v/>
      </c>
      <c r="AI171" s="187" t="str">
        <f t="shared" si="70"/>
        <v/>
      </c>
      <c r="AJ171" s="187" t="str">
        <f t="shared" si="71"/>
        <v/>
      </c>
      <c r="AK171" s="187" t="str">
        <f t="shared" si="72"/>
        <v/>
      </c>
      <c r="AL171" s="187" t="str">
        <f t="shared" si="38"/>
        <v>Casing 5</v>
      </c>
      <c r="AM171" s="193">
        <f t="shared" si="35"/>
        <v>5.9980000000000002</v>
      </c>
      <c r="AN171" s="194">
        <f t="shared" si="36"/>
        <v>80000</v>
      </c>
      <c r="AO171" s="194">
        <f t="shared" si="37"/>
        <v>460000</v>
      </c>
      <c r="AP171" s="189">
        <f t="shared" si="39"/>
        <v>2.8620931324947203</v>
      </c>
      <c r="AQ171" s="189">
        <f t="shared" si="40"/>
        <v>2.7437538365863023</v>
      </c>
      <c r="BE171" s="12"/>
    </row>
    <row r="172" spans="1:57">
      <c r="A172" s="184">
        <f t="shared" si="41"/>
        <v>2818.8995438375209</v>
      </c>
      <c r="B172" s="172">
        <f t="shared" si="73"/>
        <v>160474.56417833685</v>
      </c>
      <c r="C172" s="181">
        <f t="shared" si="74"/>
        <v>2818.8995438375209</v>
      </c>
      <c r="D172" s="168">
        <f t="shared" si="44"/>
        <v>6035.639629739796</v>
      </c>
      <c r="E172" s="168">
        <f t="shared" si="45"/>
        <v>3963.6363636363635</v>
      </c>
      <c r="F172" s="168">
        <f t="shared" si="46"/>
        <v>4527.272727272727</v>
      </c>
      <c r="G172" s="168">
        <f t="shared" si="47"/>
        <v>3763.6363636363635</v>
      </c>
      <c r="H172" s="168">
        <f t="shared" si="48"/>
        <v>7381.8181818181811</v>
      </c>
      <c r="I172" s="168">
        <f t="shared" si="49"/>
        <v>6581.8181818181811</v>
      </c>
      <c r="J172" s="168">
        <f t="shared" si="50"/>
        <v>7418.181818181818</v>
      </c>
      <c r="K172" s="168">
        <f t="shared" si="51"/>
        <v>9054.545454545454</v>
      </c>
      <c r="L172" s="168">
        <f t="shared" si="52"/>
        <v>9872.7272727272721</v>
      </c>
      <c r="M172" s="168">
        <f t="shared" si="53"/>
        <v>10909.090909090908</v>
      </c>
      <c r="N172" s="168">
        <f t="array" ref="N172">MIN(IF(E172:M172&gt;D172,E172:M172))</f>
        <v>6581.8181818181811</v>
      </c>
      <c r="O172" s="184">
        <f t="shared" si="42"/>
        <v>2818.8995438375209</v>
      </c>
      <c r="P172" s="168">
        <f t="shared" si="54"/>
        <v>1631.9944727480386</v>
      </c>
      <c r="Q172" s="168">
        <f t="shared" si="55"/>
        <v>2741.666666666667</v>
      </c>
      <c r="R172" s="168">
        <f t="shared" si="56"/>
        <v>3383.3333333333335</v>
      </c>
      <c r="S172" s="168">
        <f t="shared" si="57"/>
        <v>2408.3333333333335</v>
      </c>
      <c r="T172" s="168">
        <f t="shared" si="58"/>
        <v>5791.666666666667</v>
      </c>
      <c r="U172" s="168">
        <f t="shared" si="59"/>
        <v>4433.3333333333339</v>
      </c>
      <c r="V172" s="168">
        <f t="shared" si="60"/>
        <v>5308.3333333333339</v>
      </c>
      <c r="W172" s="168">
        <f t="shared" si="61"/>
        <v>7016.666666666667</v>
      </c>
      <c r="X172" s="168">
        <f t="shared" si="62"/>
        <v>6558.3333333333339</v>
      </c>
      <c r="Y172" s="168">
        <f t="shared" si="63"/>
        <v>7500</v>
      </c>
      <c r="Z172" s="190">
        <f t="array" ref="Z172">MIN(IF(Q172:Y172&gt;P172,Q172:Y172))</f>
        <v>2408.3333333333335</v>
      </c>
      <c r="AA172" s="184">
        <f t="shared" si="43"/>
        <v>2818.8995438375209</v>
      </c>
      <c r="AB172" s="168">
        <f t="shared" si="64"/>
        <v>6581.8181818181811</v>
      </c>
      <c r="AC172" s="187" t="str">
        <f t="shared" si="65"/>
        <v/>
      </c>
      <c r="AD172" s="187" t="str">
        <f t="shared" si="66"/>
        <v/>
      </c>
      <c r="AE172" s="187" t="str">
        <f t="shared" si="67"/>
        <v/>
      </c>
      <c r="AF172" s="187" t="str">
        <f t="shared" si="68"/>
        <v/>
      </c>
      <c r="AG172" s="187" t="str">
        <f t="shared" si="34"/>
        <v>Casing 5</v>
      </c>
      <c r="AH172" s="187" t="str">
        <f t="shared" si="69"/>
        <v/>
      </c>
      <c r="AI172" s="187" t="str">
        <f t="shared" si="70"/>
        <v/>
      </c>
      <c r="AJ172" s="187" t="str">
        <f t="shared" si="71"/>
        <v/>
      </c>
      <c r="AK172" s="187" t="str">
        <f t="shared" si="72"/>
        <v/>
      </c>
      <c r="AL172" s="187" t="str">
        <f t="shared" si="38"/>
        <v>Casing 5</v>
      </c>
      <c r="AM172" s="193">
        <f t="shared" si="35"/>
        <v>5.9980000000000002</v>
      </c>
      <c r="AN172" s="194">
        <f t="shared" si="36"/>
        <v>80000</v>
      </c>
      <c r="AO172" s="194">
        <f t="shared" si="37"/>
        <v>460000</v>
      </c>
      <c r="AP172" s="189">
        <f t="shared" si="39"/>
        <v>2.990131192796071</v>
      </c>
      <c r="AQ172" s="189">
        <f t="shared" si="40"/>
        <v>2.8664978923936992</v>
      </c>
      <c r="BE172" s="12"/>
    </row>
    <row r="173" spans="1:57">
      <c r="A173" s="184">
        <f t="shared" si="41"/>
        <v>2931.744019391047</v>
      </c>
      <c r="B173" s="172">
        <f t="shared" si="73"/>
        <v>153358.36753644058</v>
      </c>
      <c r="C173" s="181">
        <f t="shared" si="74"/>
        <v>2931.744019391047</v>
      </c>
      <c r="D173" s="168">
        <f t="shared" si="44"/>
        <v>5997.0349407346421</v>
      </c>
      <c r="E173" s="168">
        <f t="shared" si="45"/>
        <v>3963.6363636363635</v>
      </c>
      <c r="F173" s="168">
        <f t="shared" si="46"/>
        <v>4527.272727272727</v>
      </c>
      <c r="G173" s="168">
        <f t="shared" si="47"/>
        <v>3763.6363636363635</v>
      </c>
      <c r="H173" s="168">
        <f t="shared" si="48"/>
        <v>7381.8181818181811</v>
      </c>
      <c r="I173" s="168">
        <f t="shared" si="49"/>
        <v>6581.8181818181811</v>
      </c>
      <c r="J173" s="168">
        <f t="shared" si="50"/>
        <v>7418.181818181818</v>
      </c>
      <c r="K173" s="168">
        <f t="shared" si="51"/>
        <v>9054.545454545454</v>
      </c>
      <c r="L173" s="168">
        <f t="shared" si="52"/>
        <v>9872.7272727272721</v>
      </c>
      <c r="M173" s="168">
        <f t="shared" si="53"/>
        <v>10909.090909090908</v>
      </c>
      <c r="N173" s="168">
        <f t="array" ref="N173">MIN(IF(E173:M173&gt;D173,E173:M173))</f>
        <v>6581.8181818181811</v>
      </c>
      <c r="O173" s="184">
        <f t="shared" si="42"/>
        <v>2931.744019391047</v>
      </c>
      <c r="P173" s="168">
        <f t="shared" si="54"/>
        <v>1697.3254849106063</v>
      </c>
      <c r="Q173" s="168">
        <f t="shared" si="55"/>
        <v>2741.666666666667</v>
      </c>
      <c r="R173" s="168">
        <f t="shared" si="56"/>
        <v>3383.3333333333335</v>
      </c>
      <c r="S173" s="168">
        <f t="shared" si="57"/>
        <v>2408.3333333333335</v>
      </c>
      <c r="T173" s="168">
        <f t="shared" si="58"/>
        <v>5791.666666666667</v>
      </c>
      <c r="U173" s="168">
        <f t="shared" si="59"/>
        <v>4433.3333333333339</v>
      </c>
      <c r="V173" s="168">
        <f t="shared" si="60"/>
        <v>5308.3333333333339</v>
      </c>
      <c r="W173" s="168">
        <f t="shared" si="61"/>
        <v>7016.666666666667</v>
      </c>
      <c r="X173" s="168">
        <f t="shared" si="62"/>
        <v>6558.3333333333339</v>
      </c>
      <c r="Y173" s="168">
        <f t="shared" si="63"/>
        <v>7500</v>
      </c>
      <c r="Z173" s="190">
        <f t="array" ref="Z173">MIN(IF(Q173:Y173&gt;P173,Q173:Y173))</f>
        <v>2408.3333333333335</v>
      </c>
      <c r="AA173" s="184">
        <f t="shared" si="43"/>
        <v>2931.744019391047</v>
      </c>
      <c r="AB173" s="168">
        <f t="shared" si="64"/>
        <v>6581.8181818181811</v>
      </c>
      <c r="AC173" s="187" t="str">
        <f t="shared" si="65"/>
        <v/>
      </c>
      <c r="AD173" s="187" t="str">
        <f t="shared" si="66"/>
        <v/>
      </c>
      <c r="AE173" s="187" t="str">
        <f t="shared" si="67"/>
        <v/>
      </c>
      <c r="AF173" s="187" t="str">
        <f t="shared" si="68"/>
        <v/>
      </c>
      <c r="AG173" s="187" t="str">
        <f t="shared" si="34"/>
        <v>Casing 5</v>
      </c>
      <c r="AH173" s="187" t="str">
        <f t="shared" si="69"/>
        <v/>
      </c>
      <c r="AI173" s="187" t="str">
        <f t="shared" si="70"/>
        <v/>
      </c>
      <c r="AJ173" s="187" t="str">
        <f t="shared" si="71"/>
        <v/>
      </c>
      <c r="AK173" s="187" t="str">
        <f t="shared" si="72"/>
        <v/>
      </c>
      <c r="AL173" s="187" t="str">
        <f t="shared" si="38"/>
        <v>Casing 5</v>
      </c>
      <c r="AM173" s="193">
        <f t="shared" si="35"/>
        <v>5.9980000000000002</v>
      </c>
      <c r="AN173" s="194">
        <f t="shared" si="36"/>
        <v>80000</v>
      </c>
      <c r="AO173" s="194">
        <f t="shared" si="37"/>
        <v>460000</v>
      </c>
      <c r="AP173" s="189">
        <f t="shared" si="39"/>
        <v>3.1288804628543128</v>
      </c>
      <c r="AQ173" s="189">
        <f t="shared" si="40"/>
        <v>2.9995102803288258</v>
      </c>
      <c r="BE173" s="12"/>
    </row>
    <row r="174" spans="1:57">
      <c r="A174" s="184">
        <f t="shared" si="41"/>
        <v>3044.5831670658467</v>
      </c>
      <c r="B174" s="172">
        <f t="shared" si="73"/>
        <v>146304.93650359346</v>
      </c>
      <c r="C174" s="181">
        <f t="shared" si="74"/>
        <v>3044.5831670658467</v>
      </c>
      <c r="D174" s="168">
        <f t="shared" si="44"/>
        <v>5958.4320744248416</v>
      </c>
      <c r="E174" s="168">
        <f t="shared" si="45"/>
        <v>3963.6363636363635</v>
      </c>
      <c r="F174" s="168">
        <f t="shared" si="46"/>
        <v>4527.272727272727</v>
      </c>
      <c r="G174" s="168">
        <f t="shared" si="47"/>
        <v>3763.6363636363635</v>
      </c>
      <c r="H174" s="168">
        <f t="shared" si="48"/>
        <v>7381.8181818181811</v>
      </c>
      <c r="I174" s="168">
        <f t="shared" si="49"/>
        <v>6581.8181818181811</v>
      </c>
      <c r="J174" s="168">
        <f t="shared" si="50"/>
        <v>7418.181818181818</v>
      </c>
      <c r="K174" s="168">
        <f t="shared" si="51"/>
        <v>9054.545454545454</v>
      </c>
      <c r="L174" s="168">
        <f t="shared" si="52"/>
        <v>9872.7272727272721</v>
      </c>
      <c r="M174" s="168">
        <f t="shared" si="53"/>
        <v>10909.090909090908</v>
      </c>
      <c r="N174" s="168">
        <f t="array" ref="N174">MIN(IF(E174:M174&gt;D174,E174:M174))</f>
        <v>6581.8181818181811</v>
      </c>
      <c r="O174" s="184">
        <f t="shared" si="42"/>
        <v>3044.5831670658467</v>
      </c>
      <c r="P174" s="168">
        <f t="shared" si="54"/>
        <v>1762.653412511806</v>
      </c>
      <c r="Q174" s="168">
        <f t="shared" si="55"/>
        <v>2741.666666666667</v>
      </c>
      <c r="R174" s="168">
        <f t="shared" si="56"/>
        <v>3383.3333333333335</v>
      </c>
      <c r="S174" s="168">
        <f t="shared" si="57"/>
        <v>2408.3333333333335</v>
      </c>
      <c r="T174" s="168">
        <f t="shared" si="58"/>
        <v>5791.666666666667</v>
      </c>
      <c r="U174" s="168">
        <f t="shared" si="59"/>
        <v>4433.3333333333339</v>
      </c>
      <c r="V174" s="168">
        <f t="shared" si="60"/>
        <v>5308.3333333333339</v>
      </c>
      <c r="W174" s="168">
        <f t="shared" si="61"/>
        <v>7016.666666666667</v>
      </c>
      <c r="X174" s="168">
        <f t="shared" si="62"/>
        <v>6558.3333333333339</v>
      </c>
      <c r="Y174" s="168">
        <f t="shared" si="63"/>
        <v>7500</v>
      </c>
      <c r="Z174" s="190">
        <f t="array" ref="Z174">MIN(IF(Q174:Y174&gt;P174,Q174:Y174))</f>
        <v>2408.3333333333335</v>
      </c>
      <c r="AA174" s="184">
        <f t="shared" si="43"/>
        <v>3044.5831670658467</v>
      </c>
      <c r="AB174" s="168">
        <f t="shared" si="64"/>
        <v>6581.8181818181811</v>
      </c>
      <c r="AC174" s="187" t="str">
        <f t="shared" si="65"/>
        <v/>
      </c>
      <c r="AD174" s="187" t="str">
        <f t="shared" si="66"/>
        <v/>
      </c>
      <c r="AE174" s="187" t="str">
        <f t="shared" si="67"/>
        <v/>
      </c>
      <c r="AF174" s="187" t="str">
        <f t="shared" si="68"/>
        <v/>
      </c>
      <c r="AG174" s="187" t="str">
        <f t="shared" si="34"/>
        <v>Casing 5</v>
      </c>
      <c r="AH174" s="187" t="str">
        <f t="shared" si="69"/>
        <v/>
      </c>
      <c r="AI174" s="187" t="str">
        <f t="shared" si="70"/>
        <v/>
      </c>
      <c r="AJ174" s="187" t="str">
        <f t="shared" si="71"/>
        <v/>
      </c>
      <c r="AK174" s="187" t="str">
        <f t="shared" si="72"/>
        <v/>
      </c>
      <c r="AL174" s="187" t="str">
        <f t="shared" si="38"/>
        <v>Casing 5</v>
      </c>
      <c r="AM174" s="193">
        <f t="shared" si="35"/>
        <v>5.9980000000000002</v>
      </c>
      <c r="AN174" s="194">
        <f t="shared" si="36"/>
        <v>80000</v>
      </c>
      <c r="AO174" s="194">
        <f t="shared" si="37"/>
        <v>460000</v>
      </c>
      <c r="AP174" s="189">
        <f t="shared" si="39"/>
        <v>3.2797252879311727</v>
      </c>
      <c r="AQ174" s="189">
        <f t="shared" si="40"/>
        <v>3.1441181069696968</v>
      </c>
      <c r="BE174" s="12"/>
    </row>
    <row r="175" spans="1:57">
      <c r="A175" s="184">
        <f t="shared" si="41"/>
        <v>3145.6779606162363</v>
      </c>
      <c r="B175" s="172">
        <f t="shared" si="73"/>
        <v>139314.27328506802</v>
      </c>
      <c r="C175" s="181">
        <f t="shared" si="74"/>
        <v>3145.6779606162363</v>
      </c>
      <c r="D175" s="168">
        <f t="shared" si="44"/>
        <v>5923.8470134733925</v>
      </c>
      <c r="E175" s="168">
        <f t="shared" si="45"/>
        <v>3963.6363636363635</v>
      </c>
      <c r="F175" s="168">
        <f t="shared" si="46"/>
        <v>4527.272727272727</v>
      </c>
      <c r="G175" s="168">
        <f t="shared" si="47"/>
        <v>3763.6363636363635</v>
      </c>
      <c r="H175" s="168">
        <f t="shared" si="48"/>
        <v>7381.8181818181811</v>
      </c>
      <c r="I175" s="168">
        <f t="shared" si="49"/>
        <v>6581.8181818181811</v>
      </c>
      <c r="J175" s="168">
        <f t="shared" si="50"/>
        <v>7418.181818181818</v>
      </c>
      <c r="K175" s="168">
        <f t="shared" si="51"/>
        <v>9054.545454545454</v>
      </c>
      <c r="L175" s="168">
        <f t="shared" si="52"/>
        <v>9872.7272727272721</v>
      </c>
      <c r="M175" s="168">
        <f t="shared" si="53"/>
        <v>10909.090909090908</v>
      </c>
      <c r="N175" s="168">
        <f t="array" ref="N175">MIN(IF(E175:M175&gt;D175,E175:M175))</f>
        <v>6581.8181818181811</v>
      </c>
      <c r="O175" s="184">
        <f t="shared" si="42"/>
        <v>3145.6779606162363</v>
      </c>
      <c r="P175" s="168">
        <f t="shared" si="54"/>
        <v>1821.1819771988737</v>
      </c>
      <c r="Q175" s="168">
        <f t="shared" si="55"/>
        <v>2741.666666666667</v>
      </c>
      <c r="R175" s="168">
        <f t="shared" si="56"/>
        <v>3383.3333333333335</v>
      </c>
      <c r="S175" s="168">
        <f t="shared" si="57"/>
        <v>2408.3333333333335</v>
      </c>
      <c r="T175" s="168">
        <f t="shared" si="58"/>
        <v>5791.666666666667</v>
      </c>
      <c r="U175" s="168">
        <f t="shared" si="59"/>
        <v>4433.3333333333339</v>
      </c>
      <c r="V175" s="168">
        <f t="shared" si="60"/>
        <v>5308.3333333333339</v>
      </c>
      <c r="W175" s="168">
        <f t="shared" si="61"/>
        <v>7016.666666666667</v>
      </c>
      <c r="X175" s="168">
        <f t="shared" si="62"/>
        <v>6558.3333333333339</v>
      </c>
      <c r="Y175" s="168">
        <f t="shared" si="63"/>
        <v>7500</v>
      </c>
      <c r="Z175" s="190">
        <f t="array" ref="Z175">MIN(IF(Q175:Y175&gt;P175,Q175:Y175))</f>
        <v>2408.3333333333335</v>
      </c>
      <c r="AA175" s="184">
        <f t="shared" si="43"/>
        <v>3145.6779606162363</v>
      </c>
      <c r="AB175" s="168">
        <f t="shared" si="64"/>
        <v>6581.8181818181811</v>
      </c>
      <c r="AC175" s="187" t="str">
        <f t="shared" si="65"/>
        <v/>
      </c>
      <c r="AD175" s="187" t="str">
        <f t="shared" si="66"/>
        <v/>
      </c>
      <c r="AE175" s="187" t="str">
        <f t="shared" si="67"/>
        <v/>
      </c>
      <c r="AF175" s="187" t="str">
        <f t="shared" si="68"/>
        <v/>
      </c>
      <c r="AG175" s="187" t="str">
        <f t="shared" si="34"/>
        <v>Casing 5</v>
      </c>
      <c r="AH175" s="187" t="str">
        <f t="shared" si="69"/>
        <v/>
      </c>
      <c r="AI175" s="187" t="str">
        <f t="shared" si="70"/>
        <v/>
      </c>
      <c r="AJ175" s="187" t="str">
        <f t="shared" si="71"/>
        <v/>
      </c>
      <c r="AK175" s="187" t="str">
        <f t="shared" si="72"/>
        <v/>
      </c>
      <c r="AL175" s="187" t="str">
        <f t="shared" si="38"/>
        <v>Casing 5</v>
      </c>
      <c r="AM175" s="193">
        <f t="shared" si="35"/>
        <v>5.9980000000000002</v>
      </c>
      <c r="AN175" s="194">
        <f t="shared" si="36"/>
        <v>80000</v>
      </c>
      <c r="AO175" s="194">
        <f t="shared" si="37"/>
        <v>460000</v>
      </c>
      <c r="AP175" s="189">
        <f t="shared" si="39"/>
        <v>3.4442989127046628</v>
      </c>
      <c r="AQ175" s="189">
        <f t="shared" si="40"/>
        <v>3.3018870870376476</v>
      </c>
      <c r="BE175" s="12"/>
    </row>
    <row r="176" spans="1:57">
      <c r="A176" s="184">
        <f t="shared" si="41"/>
        <v>3349.9304194880265</v>
      </c>
      <c r="B176" s="172">
        <f t="shared" si="73"/>
        <v>134723.46360853207</v>
      </c>
      <c r="C176" s="181">
        <f t="shared" si="74"/>
        <v>3349.9304194880265</v>
      </c>
      <c r="D176" s="168">
        <f t="shared" si="44"/>
        <v>5853.9711722804113</v>
      </c>
      <c r="E176" s="168">
        <f t="shared" si="45"/>
        <v>3963.6363636363635</v>
      </c>
      <c r="F176" s="168">
        <f t="shared" si="46"/>
        <v>4527.272727272727</v>
      </c>
      <c r="G176" s="168">
        <f t="shared" si="47"/>
        <v>3763.6363636363635</v>
      </c>
      <c r="H176" s="168">
        <f t="shared" si="48"/>
        <v>7381.8181818181811</v>
      </c>
      <c r="I176" s="168">
        <f t="shared" si="49"/>
        <v>6581.8181818181811</v>
      </c>
      <c r="J176" s="168">
        <f t="shared" si="50"/>
        <v>7418.181818181818</v>
      </c>
      <c r="K176" s="168">
        <f t="shared" si="51"/>
        <v>9054.545454545454</v>
      </c>
      <c r="L176" s="168">
        <f t="shared" si="52"/>
        <v>9872.7272727272721</v>
      </c>
      <c r="M176" s="168">
        <f t="shared" si="53"/>
        <v>10909.090909090908</v>
      </c>
      <c r="N176" s="168">
        <f t="array" ref="N176">MIN(IF(E176:M176&gt;D176,E176:M176))</f>
        <v>6581.8181818181811</v>
      </c>
      <c r="O176" s="184">
        <f t="shared" si="42"/>
        <v>3349.9304194880265</v>
      </c>
      <c r="P176" s="168">
        <f t="shared" si="54"/>
        <v>1939.4334007562259</v>
      </c>
      <c r="Q176" s="168">
        <f t="shared" si="55"/>
        <v>2741.666666666667</v>
      </c>
      <c r="R176" s="168">
        <f t="shared" si="56"/>
        <v>3383.3333333333335</v>
      </c>
      <c r="S176" s="168">
        <f t="shared" si="57"/>
        <v>2408.3333333333335</v>
      </c>
      <c r="T176" s="168">
        <f t="shared" si="58"/>
        <v>5791.666666666667</v>
      </c>
      <c r="U176" s="168">
        <f t="shared" si="59"/>
        <v>4433.3333333333339</v>
      </c>
      <c r="V176" s="168">
        <f t="shared" si="60"/>
        <v>5308.3333333333339</v>
      </c>
      <c r="W176" s="168">
        <f t="shared" si="61"/>
        <v>7016.666666666667</v>
      </c>
      <c r="X176" s="168">
        <f t="shared" si="62"/>
        <v>6558.3333333333339</v>
      </c>
      <c r="Y176" s="168">
        <f t="shared" si="63"/>
        <v>7500</v>
      </c>
      <c r="Z176" s="190">
        <f t="array" ref="Z176">MIN(IF(Q176:Y176&gt;P176,Q176:Y176))</f>
        <v>2408.3333333333335</v>
      </c>
      <c r="AA176" s="184">
        <f t="shared" si="43"/>
        <v>3349.9304194880265</v>
      </c>
      <c r="AB176" s="168">
        <f t="shared" si="64"/>
        <v>6581.8181818181811</v>
      </c>
      <c r="AC176" s="187" t="str">
        <f t="shared" si="65"/>
        <v/>
      </c>
      <c r="AD176" s="187" t="str">
        <f t="shared" si="66"/>
        <v/>
      </c>
      <c r="AE176" s="187" t="str">
        <f t="shared" si="67"/>
        <v/>
      </c>
      <c r="AF176" s="187" t="str">
        <f t="shared" si="68"/>
        <v/>
      </c>
      <c r="AG176" s="187" t="str">
        <f t="shared" si="34"/>
        <v>Casing 5</v>
      </c>
      <c r="AH176" s="187" t="str">
        <f t="shared" si="69"/>
        <v/>
      </c>
      <c r="AI176" s="187" t="str">
        <f t="shared" si="70"/>
        <v/>
      </c>
      <c r="AJ176" s="187" t="str">
        <f t="shared" si="71"/>
        <v/>
      </c>
      <c r="AK176" s="187" t="str">
        <f t="shared" si="72"/>
        <v/>
      </c>
      <c r="AL176" s="187" t="str">
        <f t="shared" si="38"/>
        <v>Casing 5</v>
      </c>
      <c r="AM176" s="193">
        <f t="shared" si="35"/>
        <v>5.9980000000000002</v>
      </c>
      <c r="AN176" s="194">
        <f t="shared" si="36"/>
        <v>80000</v>
      </c>
      <c r="AO176" s="194">
        <f t="shared" si="37"/>
        <v>460000</v>
      </c>
      <c r="AP176" s="189">
        <f t="shared" si="39"/>
        <v>3.561666150406273</v>
      </c>
      <c r="AQ176" s="189">
        <f t="shared" si="40"/>
        <v>3.4144015279820055</v>
      </c>
      <c r="BE176" s="12"/>
    </row>
    <row r="177" spans="1:57">
      <c r="A177" s="184">
        <f t="shared" si="41"/>
        <v>3554.1828783598166</v>
      </c>
      <c r="B177" s="172">
        <f t="shared" si="73"/>
        <v>130516.6730329198</v>
      </c>
      <c r="C177" s="181">
        <f t="shared" si="74"/>
        <v>3554.1828783598166</v>
      </c>
      <c r="D177" s="168">
        <f t="shared" si="44"/>
        <v>5784.0953310874311</v>
      </c>
      <c r="E177" s="168">
        <f t="shared" si="45"/>
        <v>3963.6363636363635</v>
      </c>
      <c r="F177" s="168">
        <f t="shared" si="46"/>
        <v>4527.272727272727</v>
      </c>
      <c r="G177" s="168">
        <f t="shared" si="47"/>
        <v>3763.6363636363635</v>
      </c>
      <c r="H177" s="168">
        <f t="shared" si="48"/>
        <v>7381.8181818181811</v>
      </c>
      <c r="I177" s="168">
        <f t="shared" si="49"/>
        <v>6581.8181818181811</v>
      </c>
      <c r="J177" s="168">
        <f t="shared" si="50"/>
        <v>7418.181818181818</v>
      </c>
      <c r="K177" s="168">
        <f t="shared" si="51"/>
        <v>9054.545454545454</v>
      </c>
      <c r="L177" s="168">
        <f t="shared" si="52"/>
        <v>9872.7272727272721</v>
      </c>
      <c r="M177" s="168">
        <f t="shared" si="53"/>
        <v>10909.090909090908</v>
      </c>
      <c r="N177" s="168">
        <f t="array" ref="N177">MIN(IF(E177:M177&gt;D177,E177:M177))</f>
        <v>6581.8181818181811</v>
      </c>
      <c r="O177" s="184">
        <f t="shared" si="42"/>
        <v>3554.1828783598166</v>
      </c>
      <c r="P177" s="168">
        <f t="shared" si="54"/>
        <v>2057.6848243135782</v>
      </c>
      <c r="Q177" s="168">
        <f t="shared" si="55"/>
        <v>2741.666666666667</v>
      </c>
      <c r="R177" s="168">
        <f t="shared" si="56"/>
        <v>3383.3333333333335</v>
      </c>
      <c r="S177" s="168">
        <f t="shared" si="57"/>
        <v>2408.3333333333335</v>
      </c>
      <c r="T177" s="168">
        <f t="shared" si="58"/>
        <v>5791.666666666667</v>
      </c>
      <c r="U177" s="168">
        <f t="shared" si="59"/>
        <v>4433.3333333333339</v>
      </c>
      <c r="V177" s="168">
        <f t="shared" si="60"/>
        <v>5308.3333333333339</v>
      </c>
      <c r="W177" s="168">
        <f t="shared" si="61"/>
        <v>7016.666666666667</v>
      </c>
      <c r="X177" s="168">
        <f t="shared" si="62"/>
        <v>6558.3333333333339</v>
      </c>
      <c r="Y177" s="168">
        <f t="shared" si="63"/>
        <v>7500</v>
      </c>
      <c r="Z177" s="190">
        <f t="array" ref="Z177">MIN(IF(Q177:Y177&gt;P177,Q177:Y177))</f>
        <v>2408.3333333333335</v>
      </c>
      <c r="AA177" s="184">
        <f t="shared" si="43"/>
        <v>3554.1828783598166</v>
      </c>
      <c r="AB177" s="168">
        <f t="shared" si="64"/>
        <v>6581.8181818181811</v>
      </c>
      <c r="AC177" s="187" t="str">
        <f t="shared" si="65"/>
        <v/>
      </c>
      <c r="AD177" s="187" t="str">
        <f t="shared" si="66"/>
        <v/>
      </c>
      <c r="AE177" s="187" t="str">
        <f t="shared" si="67"/>
        <v/>
      </c>
      <c r="AF177" s="187" t="str">
        <f t="shared" si="68"/>
        <v/>
      </c>
      <c r="AG177" s="187" t="str">
        <f t="shared" si="34"/>
        <v>Casing 5</v>
      </c>
      <c r="AH177" s="187" t="str">
        <f t="shared" si="69"/>
        <v/>
      </c>
      <c r="AI177" s="187" t="str">
        <f t="shared" si="70"/>
        <v/>
      </c>
      <c r="AJ177" s="187" t="str">
        <f t="shared" si="71"/>
        <v/>
      </c>
      <c r="AK177" s="187" t="str">
        <f t="shared" si="72"/>
        <v/>
      </c>
      <c r="AL177" s="187" t="str">
        <f t="shared" si="38"/>
        <v>Casing 5</v>
      </c>
      <c r="AM177" s="193">
        <f t="shared" si="35"/>
        <v>5.9980000000000002</v>
      </c>
      <c r="AN177" s="194">
        <f t="shared" si="36"/>
        <v>80000</v>
      </c>
      <c r="AO177" s="194">
        <f t="shared" si="37"/>
        <v>460000</v>
      </c>
      <c r="AP177" s="189">
        <f t="shared" si="39"/>
        <v>3.6764651507702122</v>
      </c>
      <c r="AQ177" s="189">
        <f t="shared" si="40"/>
        <v>3.5244539207950516</v>
      </c>
      <c r="BE177" s="12"/>
    </row>
    <row r="178" spans="1:57">
      <c r="A178" s="184">
        <f t="shared" si="41"/>
        <v>3758.4353372316068</v>
      </c>
      <c r="B178" s="172">
        <f t="shared" si="73"/>
        <v>126311.67567982613</v>
      </c>
      <c r="C178" s="181">
        <f t="shared" si="74"/>
        <v>3758.4353372316068</v>
      </c>
      <c r="D178" s="168">
        <f t="shared" si="44"/>
        <v>5714.2194898944499</v>
      </c>
      <c r="E178" s="168">
        <f t="shared" si="45"/>
        <v>3963.6363636363635</v>
      </c>
      <c r="F178" s="168">
        <f t="shared" si="46"/>
        <v>4527.272727272727</v>
      </c>
      <c r="G178" s="168">
        <f t="shared" si="47"/>
        <v>3763.6363636363635</v>
      </c>
      <c r="H178" s="168">
        <f t="shared" si="48"/>
        <v>7381.8181818181811</v>
      </c>
      <c r="I178" s="168">
        <f t="shared" si="49"/>
        <v>6581.8181818181811</v>
      </c>
      <c r="J178" s="168">
        <f t="shared" si="50"/>
        <v>7418.181818181818</v>
      </c>
      <c r="K178" s="168">
        <f t="shared" si="51"/>
        <v>9054.545454545454</v>
      </c>
      <c r="L178" s="168">
        <f t="shared" si="52"/>
        <v>9872.7272727272721</v>
      </c>
      <c r="M178" s="168">
        <f t="shared" si="53"/>
        <v>10909.090909090908</v>
      </c>
      <c r="N178" s="168">
        <f t="array" ref="N178">MIN(IF(E178:M178&gt;D178,E178:M178))</f>
        <v>6581.8181818181811</v>
      </c>
      <c r="O178" s="184">
        <f t="shared" si="42"/>
        <v>3758.4353372316068</v>
      </c>
      <c r="P178" s="168">
        <f t="shared" si="54"/>
        <v>2175.9362478709304</v>
      </c>
      <c r="Q178" s="168">
        <f t="shared" si="55"/>
        <v>2741.666666666667</v>
      </c>
      <c r="R178" s="168">
        <f t="shared" si="56"/>
        <v>3383.3333333333335</v>
      </c>
      <c r="S178" s="168">
        <f t="shared" si="57"/>
        <v>2408.3333333333335</v>
      </c>
      <c r="T178" s="168">
        <f t="shared" si="58"/>
        <v>5791.666666666667</v>
      </c>
      <c r="U178" s="168">
        <f t="shared" si="59"/>
        <v>4433.3333333333339</v>
      </c>
      <c r="V178" s="168">
        <f t="shared" si="60"/>
        <v>5308.3333333333339</v>
      </c>
      <c r="W178" s="168">
        <f t="shared" si="61"/>
        <v>7016.666666666667</v>
      </c>
      <c r="X178" s="168">
        <f t="shared" si="62"/>
        <v>6558.3333333333339</v>
      </c>
      <c r="Y178" s="168">
        <f t="shared" si="63"/>
        <v>7500</v>
      </c>
      <c r="Z178" s="190">
        <f t="array" ref="Z178">MIN(IF(Q178:Y178&gt;P178,Q178:Y178))</f>
        <v>2408.3333333333335</v>
      </c>
      <c r="AA178" s="184">
        <f t="shared" si="43"/>
        <v>3758.4353372316068</v>
      </c>
      <c r="AB178" s="168">
        <f t="shared" si="64"/>
        <v>6581.8181818181811</v>
      </c>
      <c r="AC178" s="187" t="str">
        <f t="shared" si="65"/>
        <v/>
      </c>
      <c r="AD178" s="187" t="str">
        <f t="shared" si="66"/>
        <v/>
      </c>
      <c r="AE178" s="187" t="str">
        <f t="shared" si="67"/>
        <v/>
      </c>
      <c r="AF178" s="187" t="str">
        <f t="shared" si="68"/>
        <v/>
      </c>
      <c r="AG178" s="187" t="str">
        <f t="shared" si="34"/>
        <v>Casing 5</v>
      </c>
      <c r="AH178" s="187" t="str">
        <f t="shared" si="69"/>
        <v/>
      </c>
      <c r="AI178" s="187" t="str">
        <f t="shared" si="70"/>
        <v/>
      </c>
      <c r="AJ178" s="187" t="str">
        <f t="shared" si="71"/>
        <v/>
      </c>
      <c r="AK178" s="187" t="str">
        <f t="shared" si="72"/>
        <v/>
      </c>
      <c r="AL178" s="187" t="str">
        <f t="shared" si="38"/>
        <v>Casing 5</v>
      </c>
      <c r="AM178" s="193">
        <f t="shared" si="35"/>
        <v>5.9980000000000002</v>
      </c>
      <c r="AN178" s="194">
        <f t="shared" si="36"/>
        <v>80000</v>
      </c>
      <c r="AO178" s="194">
        <f t="shared" si="37"/>
        <v>460000</v>
      </c>
      <c r="AP178" s="189">
        <f t="shared" si="39"/>
        <v>3.7988570527422558</v>
      </c>
      <c r="AQ178" s="189">
        <f t="shared" si="40"/>
        <v>3.6417852706348737</v>
      </c>
      <c r="BE178" s="12"/>
    </row>
    <row r="179" spans="1:57">
      <c r="A179" s="184">
        <f t="shared" si="41"/>
        <v>3962.687796103397</v>
      </c>
      <c r="B179" s="172">
        <f t="shared" si="73"/>
        <v>122108.46313854458</v>
      </c>
      <c r="C179" s="181">
        <f t="shared" si="74"/>
        <v>3962.687796103397</v>
      </c>
      <c r="D179" s="168">
        <f t="shared" si="44"/>
        <v>5644.3436487014696</v>
      </c>
      <c r="E179" s="168">
        <f t="shared" si="45"/>
        <v>3963.6363636363635</v>
      </c>
      <c r="F179" s="168">
        <f t="shared" si="46"/>
        <v>4527.272727272727</v>
      </c>
      <c r="G179" s="168">
        <f t="shared" si="47"/>
        <v>3763.6363636363635</v>
      </c>
      <c r="H179" s="168">
        <f t="shared" si="48"/>
        <v>7381.8181818181811</v>
      </c>
      <c r="I179" s="168">
        <f t="shared" si="49"/>
        <v>6581.8181818181811</v>
      </c>
      <c r="J179" s="168">
        <f t="shared" si="50"/>
        <v>7418.181818181818</v>
      </c>
      <c r="K179" s="168">
        <f t="shared" si="51"/>
        <v>9054.545454545454</v>
      </c>
      <c r="L179" s="168">
        <f t="shared" si="52"/>
        <v>9872.7272727272721</v>
      </c>
      <c r="M179" s="168">
        <f t="shared" si="53"/>
        <v>10909.090909090908</v>
      </c>
      <c r="N179" s="168">
        <f t="array" ref="N179">MIN(IF(E179:M179&gt;D179,E179:M179))</f>
        <v>6581.8181818181811</v>
      </c>
      <c r="O179" s="184">
        <f t="shared" si="42"/>
        <v>3962.687796103397</v>
      </c>
      <c r="P179" s="168">
        <f t="shared" si="54"/>
        <v>2294.1876714282826</v>
      </c>
      <c r="Q179" s="168">
        <f t="shared" si="55"/>
        <v>2741.666666666667</v>
      </c>
      <c r="R179" s="168">
        <f t="shared" si="56"/>
        <v>3383.3333333333335</v>
      </c>
      <c r="S179" s="168">
        <f t="shared" si="57"/>
        <v>2408.3333333333335</v>
      </c>
      <c r="T179" s="168">
        <f t="shared" si="58"/>
        <v>5791.666666666667</v>
      </c>
      <c r="U179" s="168">
        <f t="shared" si="59"/>
        <v>4433.3333333333339</v>
      </c>
      <c r="V179" s="168">
        <f t="shared" si="60"/>
        <v>5308.3333333333339</v>
      </c>
      <c r="W179" s="168">
        <f t="shared" si="61"/>
        <v>7016.666666666667</v>
      </c>
      <c r="X179" s="168">
        <f t="shared" si="62"/>
        <v>6558.3333333333339</v>
      </c>
      <c r="Y179" s="168">
        <f t="shared" si="63"/>
        <v>7500</v>
      </c>
      <c r="Z179" s="190">
        <f t="array" ref="Z179">MIN(IF(Q179:Y179&gt;P179,Q179:Y179))</f>
        <v>2408.3333333333335</v>
      </c>
      <c r="AA179" s="184">
        <f t="shared" si="43"/>
        <v>3962.687796103397</v>
      </c>
      <c r="AB179" s="168">
        <f t="shared" si="64"/>
        <v>6581.8181818181811</v>
      </c>
      <c r="AC179" s="187" t="str">
        <f t="shared" si="65"/>
        <v/>
      </c>
      <c r="AD179" s="187" t="str">
        <f t="shared" si="66"/>
        <v/>
      </c>
      <c r="AE179" s="187" t="str">
        <f t="shared" si="67"/>
        <v/>
      </c>
      <c r="AF179" s="187" t="str">
        <f t="shared" si="68"/>
        <v/>
      </c>
      <c r="AG179" s="187" t="str">
        <f t="shared" si="34"/>
        <v>Casing 5</v>
      </c>
      <c r="AH179" s="187" t="str">
        <f t="shared" si="69"/>
        <v/>
      </c>
      <c r="AI179" s="187" t="str">
        <f t="shared" si="70"/>
        <v/>
      </c>
      <c r="AJ179" s="187" t="str">
        <f t="shared" si="71"/>
        <v/>
      </c>
      <c r="AK179" s="187" t="str">
        <f t="shared" si="72"/>
        <v/>
      </c>
      <c r="AL179" s="187" t="str">
        <f t="shared" si="38"/>
        <v>Casing 5</v>
      </c>
      <c r="AM179" s="193">
        <f t="shared" si="35"/>
        <v>5.9980000000000002</v>
      </c>
      <c r="AN179" s="194">
        <f t="shared" si="36"/>
        <v>80000</v>
      </c>
      <c r="AO179" s="194">
        <f t="shared" si="37"/>
        <v>460000</v>
      </c>
      <c r="AP179" s="189">
        <f t="shared" si="39"/>
        <v>3.9296211553786593</v>
      </c>
      <c r="AQ179" s="189">
        <f t="shared" si="40"/>
        <v>3.7671426547894784</v>
      </c>
      <c r="BE179" s="12"/>
    </row>
    <row r="180" spans="1:57">
      <c r="A180" s="184">
        <f t="shared" si="41"/>
        <v>4166.9402549751867</v>
      </c>
      <c r="B180" s="172">
        <f t="shared" si="73"/>
        <v>117907.02647317716</v>
      </c>
      <c r="C180" s="181">
        <f t="shared" si="74"/>
        <v>4166.9402549751867</v>
      </c>
      <c r="D180" s="168">
        <f t="shared" si="44"/>
        <v>5574.4678075084885</v>
      </c>
      <c r="E180" s="168">
        <f t="shared" si="45"/>
        <v>3963.6363636363635</v>
      </c>
      <c r="F180" s="168">
        <f t="shared" si="46"/>
        <v>4527.272727272727</v>
      </c>
      <c r="G180" s="168">
        <f t="shared" si="47"/>
        <v>3763.6363636363635</v>
      </c>
      <c r="H180" s="168">
        <f t="shared" si="48"/>
        <v>7381.8181818181811</v>
      </c>
      <c r="I180" s="168">
        <f t="shared" si="49"/>
        <v>6581.8181818181811</v>
      </c>
      <c r="J180" s="168">
        <f t="shared" si="50"/>
        <v>7418.181818181818</v>
      </c>
      <c r="K180" s="168">
        <f t="shared" si="51"/>
        <v>9054.545454545454</v>
      </c>
      <c r="L180" s="168">
        <f t="shared" si="52"/>
        <v>9872.7272727272721</v>
      </c>
      <c r="M180" s="168">
        <f t="shared" si="53"/>
        <v>10909.090909090908</v>
      </c>
      <c r="N180" s="168">
        <f t="array" ref="N180">MIN(IF(E180:M180&gt;D180,E180:M180))</f>
        <v>6581.8181818181811</v>
      </c>
      <c r="O180" s="184">
        <f t="shared" si="42"/>
        <v>4166.9402549751867</v>
      </c>
      <c r="P180" s="168">
        <f t="shared" si="54"/>
        <v>2412.4390949856347</v>
      </c>
      <c r="Q180" s="168">
        <f t="shared" si="55"/>
        <v>2741.666666666667</v>
      </c>
      <c r="R180" s="168">
        <f t="shared" si="56"/>
        <v>3383.3333333333335</v>
      </c>
      <c r="S180" s="168">
        <f t="shared" si="57"/>
        <v>2408.3333333333335</v>
      </c>
      <c r="T180" s="168">
        <f t="shared" si="58"/>
        <v>5791.666666666667</v>
      </c>
      <c r="U180" s="168">
        <f t="shared" si="59"/>
        <v>4433.3333333333339</v>
      </c>
      <c r="V180" s="168">
        <f t="shared" si="60"/>
        <v>5308.3333333333339</v>
      </c>
      <c r="W180" s="168">
        <f t="shared" si="61"/>
        <v>7016.666666666667</v>
      </c>
      <c r="X180" s="168">
        <f t="shared" si="62"/>
        <v>6558.3333333333339</v>
      </c>
      <c r="Y180" s="168">
        <f t="shared" si="63"/>
        <v>7500</v>
      </c>
      <c r="Z180" s="190">
        <f t="array" ref="Z180">MIN(IF(Q180:Y180&gt;P180,Q180:Y180))</f>
        <v>2741.666666666667</v>
      </c>
      <c r="AA180" s="184">
        <f t="shared" si="43"/>
        <v>4166.9402549751867</v>
      </c>
      <c r="AB180" s="168">
        <f t="shared" si="64"/>
        <v>6581.8181818181811</v>
      </c>
      <c r="AC180" s="187" t="str">
        <f t="shared" si="65"/>
        <v/>
      </c>
      <c r="AD180" s="187" t="str">
        <f t="shared" si="66"/>
        <v/>
      </c>
      <c r="AE180" s="187" t="str">
        <f t="shared" si="67"/>
        <v/>
      </c>
      <c r="AF180" s="187" t="str">
        <f t="shared" si="68"/>
        <v/>
      </c>
      <c r="AG180" s="187" t="str">
        <f t="shared" si="34"/>
        <v>Casing 5</v>
      </c>
      <c r="AH180" s="187" t="str">
        <f t="shared" si="69"/>
        <v/>
      </c>
      <c r="AI180" s="187" t="str">
        <f t="shared" si="70"/>
        <v/>
      </c>
      <c r="AJ180" s="187" t="str">
        <f t="shared" si="71"/>
        <v/>
      </c>
      <c r="AK180" s="187" t="str">
        <f t="shared" si="72"/>
        <v/>
      </c>
      <c r="AL180" s="187" t="str">
        <f t="shared" si="38"/>
        <v>Casing 5</v>
      </c>
      <c r="AM180" s="193">
        <f t="shared" si="35"/>
        <v>5.9980000000000002</v>
      </c>
      <c r="AN180" s="194">
        <f t="shared" si="36"/>
        <v>80000</v>
      </c>
      <c r="AO180" s="194">
        <f t="shared" si="37"/>
        <v>460000</v>
      </c>
      <c r="AP180" s="189">
        <f t="shared" si="39"/>
        <v>4.0696471987541765</v>
      </c>
      <c r="AQ180" s="189">
        <f t="shared" si="40"/>
        <v>3.901379025147802</v>
      </c>
      <c r="BE180" s="12"/>
    </row>
    <row r="181" spans="1:57">
      <c r="A181" s="184">
        <f t="shared" si="41"/>
        <v>4371.1927138469764</v>
      </c>
      <c r="B181" s="172">
        <f t="shared" si="73"/>
        <v>113707.35618095619</v>
      </c>
      <c r="C181" s="181">
        <f t="shared" si="74"/>
        <v>4371.1927138469764</v>
      </c>
      <c r="D181" s="168">
        <f t="shared" si="44"/>
        <v>5504.5919663155082</v>
      </c>
      <c r="E181" s="168">
        <f t="shared" si="45"/>
        <v>3963.6363636363635</v>
      </c>
      <c r="F181" s="168">
        <f t="shared" si="46"/>
        <v>4527.272727272727</v>
      </c>
      <c r="G181" s="168">
        <f t="shared" si="47"/>
        <v>3763.6363636363635</v>
      </c>
      <c r="H181" s="168">
        <f t="shared" si="48"/>
        <v>7381.8181818181811</v>
      </c>
      <c r="I181" s="168">
        <f t="shared" si="49"/>
        <v>6581.8181818181811</v>
      </c>
      <c r="J181" s="168">
        <f t="shared" si="50"/>
        <v>7418.181818181818</v>
      </c>
      <c r="K181" s="168">
        <f t="shared" si="51"/>
        <v>9054.545454545454</v>
      </c>
      <c r="L181" s="168">
        <f t="shared" si="52"/>
        <v>9872.7272727272721</v>
      </c>
      <c r="M181" s="168">
        <f t="shared" si="53"/>
        <v>10909.090909090908</v>
      </c>
      <c r="N181" s="168">
        <f t="array" ref="N181">MIN(IF(E181:M181&gt;D181,E181:M181))</f>
        <v>6581.8181818181811</v>
      </c>
      <c r="O181" s="184">
        <f t="shared" si="42"/>
        <v>4371.1927138469764</v>
      </c>
      <c r="P181" s="168">
        <f t="shared" si="54"/>
        <v>2530.6905185429864</v>
      </c>
      <c r="Q181" s="168">
        <f t="shared" si="55"/>
        <v>2741.666666666667</v>
      </c>
      <c r="R181" s="168">
        <f t="shared" si="56"/>
        <v>3383.3333333333335</v>
      </c>
      <c r="S181" s="168">
        <f t="shared" si="57"/>
        <v>2408.3333333333335</v>
      </c>
      <c r="T181" s="168">
        <f t="shared" si="58"/>
        <v>5791.666666666667</v>
      </c>
      <c r="U181" s="168">
        <f t="shared" si="59"/>
        <v>4433.3333333333339</v>
      </c>
      <c r="V181" s="168">
        <f t="shared" si="60"/>
        <v>5308.3333333333339</v>
      </c>
      <c r="W181" s="168">
        <f t="shared" si="61"/>
        <v>7016.666666666667</v>
      </c>
      <c r="X181" s="168">
        <f t="shared" si="62"/>
        <v>6558.3333333333339</v>
      </c>
      <c r="Y181" s="168">
        <f t="shared" si="63"/>
        <v>7500</v>
      </c>
      <c r="Z181" s="190">
        <f t="array" ref="Z181">MIN(IF(Q181:Y181&gt;P181,Q181:Y181))</f>
        <v>2741.666666666667</v>
      </c>
      <c r="AA181" s="184">
        <f t="shared" si="43"/>
        <v>4371.1927138469764</v>
      </c>
      <c r="AB181" s="168">
        <f t="shared" si="64"/>
        <v>6581.8181818181811</v>
      </c>
      <c r="AC181" s="187" t="str">
        <f t="shared" si="65"/>
        <v/>
      </c>
      <c r="AD181" s="187" t="str">
        <f t="shared" si="66"/>
        <v/>
      </c>
      <c r="AE181" s="187" t="str">
        <f t="shared" si="67"/>
        <v/>
      </c>
      <c r="AF181" s="187" t="str">
        <f t="shared" si="68"/>
        <v/>
      </c>
      <c r="AG181" s="187" t="str">
        <f t="shared" si="34"/>
        <v>Casing 5</v>
      </c>
      <c r="AH181" s="187" t="str">
        <f t="shared" si="69"/>
        <v/>
      </c>
      <c r="AI181" s="187" t="str">
        <f t="shared" si="70"/>
        <v/>
      </c>
      <c r="AJ181" s="187" t="str">
        <f t="shared" si="71"/>
        <v/>
      </c>
      <c r="AK181" s="187" t="str">
        <f t="shared" si="72"/>
        <v/>
      </c>
      <c r="AL181" s="187" t="str">
        <f t="shared" si="38"/>
        <v>Casing 5</v>
      </c>
      <c r="AM181" s="193">
        <f t="shared" si="35"/>
        <v>5.9980000000000002</v>
      </c>
      <c r="AN181" s="194">
        <f t="shared" si="36"/>
        <v>80000</v>
      </c>
      <c r="AO181" s="194">
        <f t="shared" si="37"/>
        <v>460000</v>
      </c>
      <c r="AP181" s="189">
        <f t="shared" si="39"/>
        <v>4.2199556485718732</v>
      </c>
      <c r="AQ181" s="189">
        <f t="shared" si="40"/>
        <v>4.0454726540994113</v>
      </c>
      <c r="BE181" s="12"/>
    </row>
    <row r="182" spans="1:57">
      <c r="A182" s="184">
        <f t="shared" si="41"/>
        <v>4575.4451727187661</v>
      </c>
      <c r="B182" s="172">
        <f t="shared" si="73"/>
        <v>109509.4421467021</v>
      </c>
      <c r="C182" s="181">
        <f t="shared" si="74"/>
        <v>4575.4451727187661</v>
      </c>
      <c r="D182" s="168">
        <f t="shared" si="44"/>
        <v>5434.716125122528</v>
      </c>
      <c r="E182" s="168">
        <f t="shared" si="45"/>
        <v>3963.6363636363635</v>
      </c>
      <c r="F182" s="168">
        <f t="shared" si="46"/>
        <v>4527.272727272727</v>
      </c>
      <c r="G182" s="168">
        <f t="shared" si="47"/>
        <v>3763.6363636363635</v>
      </c>
      <c r="H182" s="168">
        <f t="shared" si="48"/>
        <v>7381.8181818181811</v>
      </c>
      <c r="I182" s="168">
        <f t="shared" si="49"/>
        <v>6581.8181818181811</v>
      </c>
      <c r="J182" s="168">
        <f t="shared" si="50"/>
        <v>7418.181818181818</v>
      </c>
      <c r="K182" s="168">
        <f t="shared" si="51"/>
        <v>9054.545454545454</v>
      </c>
      <c r="L182" s="168">
        <f t="shared" si="52"/>
        <v>9872.7272727272721</v>
      </c>
      <c r="M182" s="168">
        <f t="shared" si="53"/>
        <v>10909.090909090908</v>
      </c>
      <c r="N182" s="168">
        <f t="array" ref="N182">MIN(IF(E182:M182&gt;D182,E182:M182))</f>
        <v>6581.8181818181811</v>
      </c>
      <c r="O182" s="184">
        <f t="shared" si="42"/>
        <v>4575.4451727187661</v>
      </c>
      <c r="P182" s="168">
        <f t="shared" si="54"/>
        <v>2648.9419421003386</v>
      </c>
      <c r="Q182" s="168">
        <f t="shared" si="55"/>
        <v>2741.666666666667</v>
      </c>
      <c r="R182" s="168">
        <f t="shared" si="56"/>
        <v>3383.3333333333335</v>
      </c>
      <c r="S182" s="168">
        <f t="shared" si="57"/>
        <v>2408.3333333333335</v>
      </c>
      <c r="T182" s="168">
        <f t="shared" si="58"/>
        <v>5791.666666666667</v>
      </c>
      <c r="U182" s="168">
        <f t="shared" si="59"/>
        <v>4433.3333333333339</v>
      </c>
      <c r="V182" s="168">
        <f t="shared" si="60"/>
        <v>5308.3333333333339</v>
      </c>
      <c r="W182" s="168">
        <f t="shared" si="61"/>
        <v>7016.666666666667</v>
      </c>
      <c r="X182" s="168">
        <f t="shared" si="62"/>
        <v>6558.3333333333339</v>
      </c>
      <c r="Y182" s="168">
        <f t="shared" si="63"/>
        <v>7500</v>
      </c>
      <c r="Z182" s="190">
        <f t="array" ref="Z182">MIN(IF(Q182:Y182&gt;P182,Q182:Y182))</f>
        <v>2741.666666666667</v>
      </c>
      <c r="AA182" s="184">
        <f t="shared" si="43"/>
        <v>4575.4451727187661</v>
      </c>
      <c r="AB182" s="168">
        <f t="shared" si="64"/>
        <v>6581.8181818181811</v>
      </c>
      <c r="AC182" s="187" t="str">
        <f t="shared" si="65"/>
        <v/>
      </c>
      <c r="AD182" s="187" t="str">
        <f t="shared" si="66"/>
        <v/>
      </c>
      <c r="AE182" s="187" t="str">
        <f t="shared" si="67"/>
        <v/>
      </c>
      <c r="AF182" s="187" t="str">
        <f t="shared" si="68"/>
        <v/>
      </c>
      <c r="AG182" s="187" t="str">
        <f t="shared" si="34"/>
        <v>Casing 5</v>
      </c>
      <c r="AH182" s="187" t="str">
        <f t="shared" si="69"/>
        <v/>
      </c>
      <c r="AI182" s="187" t="str">
        <f t="shared" si="70"/>
        <v/>
      </c>
      <c r="AJ182" s="187" t="str">
        <f t="shared" si="71"/>
        <v/>
      </c>
      <c r="AK182" s="187" t="str">
        <f t="shared" si="72"/>
        <v/>
      </c>
      <c r="AL182" s="187" t="str">
        <f t="shared" si="38"/>
        <v>Casing 5</v>
      </c>
      <c r="AM182" s="193">
        <f t="shared" si="35"/>
        <v>5.9980000000000002</v>
      </c>
      <c r="AN182" s="194">
        <f t="shared" si="36"/>
        <v>80000</v>
      </c>
      <c r="AO182" s="194">
        <f t="shared" si="37"/>
        <v>460000</v>
      </c>
      <c r="AP182" s="189">
        <f t="shared" si="39"/>
        <v>4.38172262221181</v>
      </c>
      <c r="AQ182" s="189">
        <f t="shared" si="40"/>
        <v>4.2005510299629716</v>
      </c>
      <c r="BE182" s="12"/>
    </row>
    <row r="183" spans="1:57">
      <c r="A183" s="184">
        <f t="shared" si="41"/>
        <v>4779.6976315905558</v>
      </c>
      <c r="B183" s="172">
        <f t="shared" si="73"/>
        <v>105313.27359303198</v>
      </c>
      <c r="C183" s="181">
        <f t="shared" si="74"/>
        <v>4779.6976315905558</v>
      </c>
      <c r="D183" s="168">
        <f t="shared" si="44"/>
        <v>5364.8402839295468</v>
      </c>
      <c r="E183" s="168">
        <f t="shared" si="45"/>
        <v>3963.6363636363635</v>
      </c>
      <c r="F183" s="168">
        <f t="shared" si="46"/>
        <v>4527.272727272727</v>
      </c>
      <c r="G183" s="168">
        <f t="shared" si="47"/>
        <v>3763.6363636363635</v>
      </c>
      <c r="H183" s="168">
        <f t="shared" si="48"/>
        <v>7381.8181818181811</v>
      </c>
      <c r="I183" s="168">
        <f t="shared" si="49"/>
        <v>6581.8181818181811</v>
      </c>
      <c r="J183" s="168">
        <f t="shared" si="50"/>
        <v>7418.181818181818</v>
      </c>
      <c r="K183" s="168">
        <f t="shared" si="51"/>
        <v>9054.545454545454</v>
      </c>
      <c r="L183" s="168">
        <f t="shared" si="52"/>
        <v>9872.7272727272721</v>
      </c>
      <c r="M183" s="168">
        <f t="shared" si="53"/>
        <v>10909.090909090908</v>
      </c>
      <c r="N183" s="168">
        <f t="array" ref="N183">MIN(IF(E183:M183&gt;D183,E183:M183))</f>
        <v>6581.8181818181811</v>
      </c>
      <c r="O183" s="184">
        <f t="shared" si="42"/>
        <v>4779.6976315905558</v>
      </c>
      <c r="P183" s="168">
        <f t="shared" si="54"/>
        <v>2767.1933656576903</v>
      </c>
      <c r="Q183" s="168">
        <f t="shared" si="55"/>
        <v>2741.666666666667</v>
      </c>
      <c r="R183" s="168">
        <f t="shared" si="56"/>
        <v>3383.3333333333335</v>
      </c>
      <c r="S183" s="168">
        <f t="shared" si="57"/>
        <v>2408.3333333333335</v>
      </c>
      <c r="T183" s="168">
        <f t="shared" si="58"/>
        <v>5791.666666666667</v>
      </c>
      <c r="U183" s="168">
        <f t="shared" si="59"/>
        <v>4433.3333333333339</v>
      </c>
      <c r="V183" s="168">
        <f t="shared" si="60"/>
        <v>5308.3333333333339</v>
      </c>
      <c r="W183" s="168">
        <f t="shared" si="61"/>
        <v>7016.666666666667</v>
      </c>
      <c r="X183" s="168">
        <f t="shared" si="62"/>
        <v>6558.3333333333339</v>
      </c>
      <c r="Y183" s="168">
        <f t="shared" si="63"/>
        <v>7500</v>
      </c>
      <c r="Z183" s="190">
        <f t="array" ref="Z183">MIN(IF(Q183:Y183&gt;P183,Q183:Y183))</f>
        <v>3383.3333333333335</v>
      </c>
      <c r="AA183" s="184">
        <f t="shared" si="43"/>
        <v>4779.6976315905558</v>
      </c>
      <c r="AB183" s="168">
        <f t="shared" si="64"/>
        <v>6581.8181818181811</v>
      </c>
      <c r="AC183" s="187" t="str">
        <f t="shared" si="65"/>
        <v/>
      </c>
      <c r="AD183" s="187" t="str">
        <f t="shared" si="66"/>
        <v/>
      </c>
      <c r="AE183" s="187" t="str">
        <f t="shared" si="67"/>
        <v/>
      </c>
      <c r="AF183" s="187" t="str">
        <f t="shared" si="68"/>
        <v/>
      </c>
      <c r="AG183" s="187" t="str">
        <f t="shared" si="34"/>
        <v>Casing 5</v>
      </c>
      <c r="AH183" s="187" t="str">
        <f t="shared" si="69"/>
        <v/>
      </c>
      <c r="AI183" s="187" t="str">
        <f t="shared" si="70"/>
        <v/>
      </c>
      <c r="AJ183" s="187" t="str">
        <f t="shared" si="71"/>
        <v/>
      </c>
      <c r="AK183" s="187" t="str">
        <f t="shared" si="72"/>
        <v/>
      </c>
      <c r="AL183" s="187" t="str">
        <f t="shared" si="38"/>
        <v>Casing 5</v>
      </c>
      <c r="AM183" s="193">
        <f t="shared" si="35"/>
        <v>5.9980000000000002</v>
      </c>
      <c r="AN183" s="194">
        <f t="shared" si="36"/>
        <v>80000</v>
      </c>
      <c r="AO183" s="194">
        <f t="shared" si="37"/>
        <v>460000</v>
      </c>
      <c r="AP183" s="189">
        <f t="shared" si="39"/>
        <v>4.5563107444012498</v>
      </c>
      <c r="AQ183" s="189">
        <f t="shared" si="40"/>
        <v>4.3679204368634856</v>
      </c>
      <c r="BE183" s="12"/>
    </row>
    <row r="184" spans="1:57">
      <c r="A184" s="184">
        <f t="shared" si="41"/>
        <v>4983.9500904623455</v>
      </c>
      <c r="B184" s="172">
        <f t="shared" si="73"/>
        <v>101118.83902589613</v>
      </c>
      <c r="C184" s="181">
        <f t="shared" si="74"/>
        <v>4983.9500904623455</v>
      </c>
      <c r="D184" s="168">
        <f t="shared" si="44"/>
        <v>5294.9644427365665</v>
      </c>
      <c r="E184" s="168">
        <f t="shared" si="45"/>
        <v>3963.6363636363635</v>
      </c>
      <c r="F184" s="168">
        <f t="shared" si="46"/>
        <v>4527.272727272727</v>
      </c>
      <c r="G184" s="168">
        <f t="shared" si="47"/>
        <v>3763.6363636363635</v>
      </c>
      <c r="H184" s="168">
        <f t="shared" si="48"/>
        <v>7381.8181818181811</v>
      </c>
      <c r="I184" s="168">
        <f t="shared" si="49"/>
        <v>6581.8181818181811</v>
      </c>
      <c r="J184" s="168">
        <f t="shared" si="50"/>
        <v>7418.181818181818</v>
      </c>
      <c r="K184" s="168">
        <f t="shared" si="51"/>
        <v>9054.545454545454</v>
      </c>
      <c r="L184" s="168">
        <f t="shared" si="52"/>
        <v>9872.7272727272721</v>
      </c>
      <c r="M184" s="168">
        <f t="shared" si="53"/>
        <v>10909.090909090908</v>
      </c>
      <c r="N184" s="168">
        <f t="array" ref="N184">MIN(IF(E184:M184&gt;D184,E184:M184))</f>
        <v>6581.8181818181811</v>
      </c>
      <c r="O184" s="184">
        <f t="shared" si="42"/>
        <v>4983.9500904623455</v>
      </c>
      <c r="P184" s="168">
        <f t="shared" si="54"/>
        <v>2885.4447892150424</v>
      </c>
      <c r="Q184" s="168">
        <f t="shared" si="55"/>
        <v>2741.666666666667</v>
      </c>
      <c r="R184" s="168">
        <f t="shared" si="56"/>
        <v>3383.3333333333335</v>
      </c>
      <c r="S184" s="168">
        <f t="shared" si="57"/>
        <v>2408.3333333333335</v>
      </c>
      <c r="T184" s="168">
        <f t="shared" si="58"/>
        <v>5791.666666666667</v>
      </c>
      <c r="U184" s="168">
        <f t="shared" si="59"/>
        <v>4433.3333333333339</v>
      </c>
      <c r="V184" s="168">
        <f t="shared" si="60"/>
        <v>5308.3333333333339</v>
      </c>
      <c r="W184" s="168">
        <f t="shared" si="61"/>
        <v>7016.666666666667</v>
      </c>
      <c r="X184" s="168">
        <f t="shared" si="62"/>
        <v>6558.3333333333339</v>
      </c>
      <c r="Y184" s="168">
        <f t="shared" si="63"/>
        <v>7500</v>
      </c>
      <c r="Z184" s="190">
        <f t="array" ref="Z184">MIN(IF(Q184:Y184&gt;P184,Q184:Y184))</f>
        <v>3383.3333333333335</v>
      </c>
      <c r="AA184" s="184">
        <f t="shared" si="43"/>
        <v>4983.9500904623455</v>
      </c>
      <c r="AB184" s="168">
        <f t="shared" si="64"/>
        <v>6581.8181818181811</v>
      </c>
      <c r="AC184" s="187" t="str">
        <f t="shared" si="65"/>
        <v/>
      </c>
      <c r="AD184" s="187" t="str">
        <f t="shared" si="66"/>
        <v/>
      </c>
      <c r="AE184" s="187" t="str">
        <f t="shared" si="67"/>
        <v/>
      </c>
      <c r="AF184" s="187" t="str">
        <f t="shared" si="68"/>
        <v/>
      </c>
      <c r="AG184" s="187" t="str">
        <f t="shared" si="34"/>
        <v>Casing 5</v>
      </c>
      <c r="AH184" s="187" t="str">
        <f t="shared" si="69"/>
        <v/>
      </c>
      <c r="AI184" s="187" t="str">
        <f t="shared" si="70"/>
        <v/>
      </c>
      <c r="AJ184" s="187" t="str">
        <f t="shared" si="71"/>
        <v/>
      </c>
      <c r="AK184" s="187" t="str">
        <f t="shared" si="72"/>
        <v/>
      </c>
      <c r="AL184" s="187" t="str">
        <f t="shared" si="38"/>
        <v>Casing 5</v>
      </c>
      <c r="AM184" s="193">
        <f t="shared" si="35"/>
        <v>5.9980000000000002</v>
      </c>
      <c r="AN184" s="194">
        <f t="shared" si="36"/>
        <v>80000</v>
      </c>
      <c r="AO184" s="194">
        <f t="shared" si="37"/>
        <v>460000</v>
      </c>
      <c r="AP184" s="189">
        <f t="shared" si="39"/>
        <v>4.7453076461559736</v>
      </c>
      <c r="AQ184" s="189">
        <f t="shared" si="40"/>
        <v>4.5491028618534264</v>
      </c>
      <c r="BE184" s="12"/>
    </row>
    <row r="185" spans="1:57">
      <c r="A185" s="184">
        <f t="shared" si="41"/>
        <v>5188.2025493341353</v>
      </c>
      <c r="B185" s="172">
        <f t="shared" si="73"/>
        <v>96926.126174982332</v>
      </c>
      <c r="C185" s="181">
        <f t="shared" si="74"/>
        <v>5188.2025493341353</v>
      </c>
      <c r="D185" s="168">
        <f t="shared" si="44"/>
        <v>5225.0886015435854</v>
      </c>
      <c r="E185" s="168">
        <f t="shared" si="45"/>
        <v>3963.6363636363635</v>
      </c>
      <c r="F185" s="168">
        <f t="shared" si="46"/>
        <v>4527.272727272727</v>
      </c>
      <c r="G185" s="168">
        <f t="shared" si="47"/>
        <v>3763.6363636363635</v>
      </c>
      <c r="H185" s="168">
        <f t="shared" si="48"/>
        <v>7381.8181818181811</v>
      </c>
      <c r="I185" s="168">
        <f t="shared" si="49"/>
        <v>6581.8181818181811</v>
      </c>
      <c r="J185" s="168">
        <f t="shared" si="50"/>
        <v>7418.181818181818</v>
      </c>
      <c r="K185" s="168">
        <f t="shared" si="51"/>
        <v>9054.545454545454</v>
      </c>
      <c r="L185" s="168">
        <f t="shared" si="52"/>
        <v>9872.7272727272721</v>
      </c>
      <c r="M185" s="168">
        <f t="shared" si="53"/>
        <v>10909.090909090908</v>
      </c>
      <c r="N185" s="168">
        <f t="array" ref="N185">MIN(IF(E185:M185&gt;D185,E185:M185))</f>
        <v>6581.8181818181811</v>
      </c>
      <c r="O185" s="184">
        <f t="shared" si="42"/>
        <v>5188.2025493341353</v>
      </c>
      <c r="P185" s="168">
        <f t="shared" si="54"/>
        <v>3003.6962127723941</v>
      </c>
      <c r="Q185" s="168">
        <f t="shared" si="55"/>
        <v>2741.666666666667</v>
      </c>
      <c r="R185" s="168">
        <f t="shared" si="56"/>
        <v>3383.3333333333335</v>
      </c>
      <c r="S185" s="168">
        <f t="shared" si="57"/>
        <v>2408.3333333333335</v>
      </c>
      <c r="T185" s="168">
        <f t="shared" si="58"/>
        <v>5791.666666666667</v>
      </c>
      <c r="U185" s="168">
        <f t="shared" si="59"/>
        <v>4433.3333333333339</v>
      </c>
      <c r="V185" s="168">
        <f t="shared" si="60"/>
        <v>5308.3333333333339</v>
      </c>
      <c r="W185" s="168">
        <f t="shared" si="61"/>
        <v>7016.666666666667</v>
      </c>
      <c r="X185" s="168">
        <f t="shared" si="62"/>
        <v>6558.3333333333339</v>
      </c>
      <c r="Y185" s="168">
        <f t="shared" si="63"/>
        <v>7500</v>
      </c>
      <c r="Z185" s="190">
        <f t="array" ref="Z185">MIN(IF(Q185:Y185&gt;P185,Q185:Y185))</f>
        <v>3383.3333333333335</v>
      </c>
      <c r="AA185" s="184">
        <f t="shared" si="43"/>
        <v>5188.2025493341353</v>
      </c>
      <c r="AB185" s="168">
        <f t="shared" si="64"/>
        <v>6581.8181818181811</v>
      </c>
      <c r="AC185" s="187" t="str">
        <f t="shared" si="65"/>
        <v/>
      </c>
      <c r="AD185" s="187" t="str">
        <f t="shared" si="66"/>
        <v/>
      </c>
      <c r="AE185" s="187" t="str">
        <f t="shared" si="67"/>
        <v/>
      </c>
      <c r="AF185" s="187" t="str">
        <f t="shared" si="68"/>
        <v/>
      </c>
      <c r="AG185" s="187" t="str">
        <f t="shared" si="34"/>
        <v>Casing 5</v>
      </c>
      <c r="AH185" s="187" t="str">
        <f t="shared" si="69"/>
        <v/>
      </c>
      <c r="AI185" s="187" t="str">
        <f t="shared" si="70"/>
        <v/>
      </c>
      <c r="AJ185" s="187" t="str">
        <f t="shared" si="71"/>
        <v/>
      </c>
      <c r="AK185" s="187" t="str">
        <f t="shared" si="72"/>
        <v/>
      </c>
      <c r="AL185" s="187" t="str">
        <f t="shared" si="38"/>
        <v>Casing 5</v>
      </c>
      <c r="AM185" s="193">
        <f t="shared" si="35"/>
        <v>5.9980000000000002</v>
      </c>
      <c r="AN185" s="194">
        <f t="shared" si="36"/>
        <v>80000</v>
      </c>
      <c r="AO185" s="194">
        <f t="shared" si="37"/>
        <v>460000</v>
      </c>
      <c r="AP185" s="189">
        <f t="shared" si="39"/>
        <v>4.950574411007997</v>
      </c>
      <c r="AQ185" s="189">
        <f t="shared" si="40"/>
        <v>4.7458824380286737</v>
      </c>
      <c r="BE185" s="12"/>
    </row>
    <row r="186" spans="1:57">
      <c r="A186" s="184">
        <f t="shared" si="41"/>
        <v>5392.455008205925</v>
      </c>
      <c r="B186" s="172">
        <f t="shared" si="73"/>
        <v>92735.121928487468</v>
      </c>
      <c r="C186" s="181">
        <f t="shared" si="74"/>
        <v>5392.455008205925</v>
      </c>
      <c r="D186" s="168">
        <f t="shared" si="44"/>
        <v>5155.2127603506051</v>
      </c>
      <c r="E186" s="168">
        <f t="shared" si="45"/>
        <v>3963.6363636363635</v>
      </c>
      <c r="F186" s="168">
        <f t="shared" si="46"/>
        <v>4527.272727272727</v>
      </c>
      <c r="G186" s="168">
        <f t="shared" si="47"/>
        <v>3763.6363636363635</v>
      </c>
      <c r="H186" s="168">
        <f t="shared" si="48"/>
        <v>7381.8181818181811</v>
      </c>
      <c r="I186" s="168">
        <f t="shared" si="49"/>
        <v>6581.8181818181811</v>
      </c>
      <c r="J186" s="168">
        <f t="shared" si="50"/>
        <v>7418.181818181818</v>
      </c>
      <c r="K186" s="168">
        <f t="shared" si="51"/>
        <v>9054.545454545454</v>
      </c>
      <c r="L186" s="168">
        <f t="shared" si="52"/>
        <v>9872.7272727272721</v>
      </c>
      <c r="M186" s="168">
        <f t="shared" si="53"/>
        <v>10909.090909090908</v>
      </c>
      <c r="N186" s="168">
        <f t="array" ref="N186">MIN(IF(E186:M186&gt;D186,E186:M186))</f>
        <v>6581.8181818181811</v>
      </c>
      <c r="O186" s="184">
        <f t="shared" si="42"/>
        <v>5392.455008205925</v>
      </c>
      <c r="P186" s="168">
        <f t="shared" si="54"/>
        <v>3121.9476363297463</v>
      </c>
      <c r="Q186" s="168">
        <f t="shared" si="55"/>
        <v>2741.666666666667</v>
      </c>
      <c r="R186" s="168">
        <f t="shared" si="56"/>
        <v>3383.3333333333335</v>
      </c>
      <c r="S186" s="168">
        <f t="shared" si="57"/>
        <v>2408.3333333333335</v>
      </c>
      <c r="T186" s="168">
        <f t="shared" si="58"/>
        <v>5791.666666666667</v>
      </c>
      <c r="U186" s="168">
        <f t="shared" si="59"/>
        <v>4433.3333333333339</v>
      </c>
      <c r="V186" s="168">
        <f t="shared" si="60"/>
        <v>5308.3333333333339</v>
      </c>
      <c r="W186" s="168">
        <f t="shared" si="61"/>
        <v>7016.666666666667</v>
      </c>
      <c r="X186" s="168">
        <f t="shared" si="62"/>
        <v>6558.3333333333339</v>
      </c>
      <c r="Y186" s="168">
        <f t="shared" si="63"/>
        <v>7500</v>
      </c>
      <c r="Z186" s="190">
        <f t="array" ref="Z186">MIN(IF(Q186:Y186&gt;P186,Q186:Y186))</f>
        <v>3383.3333333333335</v>
      </c>
      <c r="AA186" s="184">
        <f t="shared" si="43"/>
        <v>5392.455008205925</v>
      </c>
      <c r="AB186" s="168">
        <f t="shared" si="64"/>
        <v>6581.8181818181811</v>
      </c>
      <c r="AC186" s="187" t="str">
        <f t="shared" si="65"/>
        <v/>
      </c>
      <c r="AD186" s="187" t="str">
        <f t="shared" si="66"/>
        <v/>
      </c>
      <c r="AE186" s="187" t="str">
        <f t="shared" si="67"/>
        <v/>
      </c>
      <c r="AF186" s="187" t="str">
        <f t="shared" si="68"/>
        <v/>
      </c>
      <c r="AG186" s="187" t="str">
        <f t="shared" si="34"/>
        <v>Casing 5</v>
      </c>
      <c r="AH186" s="187" t="str">
        <f t="shared" si="69"/>
        <v/>
      </c>
      <c r="AI186" s="187" t="str">
        <f t="shared" si="70"/>
        <v/>
      </c>
      <c r="AJ186" s="187" t="str">
        <f t="shared" si="71"/>
        <v/>
      </c>
      <c r="AK186" s="187" t="str">
        <f t="shared" si="72"/>
        <v/>
      </c>
      <c r="AL186" s="187" t="str">
        <f t="shared" si="38"/>
        <v>Casing 5</v>
      </c>
      <c r="AM186" s="193">
        <f t="shared" si="35"/>
        <v>5.9980000000000002</v>
      </c>
      <c r="AN186" s="194">
        <f t="shared" si="36"/>
        <v>80000</v>
      </c>
      <c r="AO186" s="194">
        <f t="shared" si="37"/>
        <v>460000</v>
      </c>
      <c r="AP186" s="189">
        <f t="shared" si="39"/>
        <v>5.1743071020063764</v>
      </c>
      <c r="AQ186" s="189">
        <f t="shared" si="40"/>
        <v>4.9603644275652998</v>
      </c>
      <c r="BE186" s="12"/>
    </row>
    <row r="187" spans="1:57">
      <c r="A187" s="184">
        <f t="shared" si="41"/>
        <v>5596.7074670777147</v>
      </c>
      <c r="B187" s="172">
        <f t="shared" si="73"/>
        <v>88545.812261716419</v>
      </c>
      <c r="C187" s="181">
        <f t="shared" si="74"/>
        <v>5596.7074670777147</v>
      </c>
      <c r="D187" s="168">
        <f t="shared" si="44"/>
        <v>5085.3369191576239</v>
      </c>
      <c r="E187" s="168">
        <f t="shared" si="45"/>
        <v>3963.6363636363635</v>
      </c>
      <c r="F187" s="168">
        <f t="shared" si="46"/>
        <v>4527.272727272727</v>
      </c>
      <c r="G187" s="168">
        <f t="shared" si="47"/>
        <v>3763.6363636363635</v>
      </c>
      <c r="H187" s="168">
        <f t="shared" si="48"/>
        <v>7381.8181818181811</v>
      </c>
      <c r="I187" s="168">
        <f t="shared" si="49"/>
        <v>6581.8181818181811</v>
      </c>
      <c r="J187" s="168">
        <f t="shared" si="50"/>
        <v>7418.181818181818</v>
      </c>
      <c r="K187" s="168">
        <f t="shared" si="51"/>
        <v>9054.545454545454</v>
      </c>
      <c r="L187" s="168">
        <f t="shared" si="52"/>
        <v>9872.7272727272721</v>
      </c>
      <c r="M187" s="168">
        <f t="shared" si="53"/>
        <v>10909.090909090908</v>
      </c>
      <c r="N187" s="168">
        <f t="array" ref="N187">MIN(IF(E187:M187&gt;D187,E187:M187))</f>
        <v>6581.8181818181811</v>
      </c>
      <c r="O187" s="184">
        <f t="shared" si="42"/>
        <v>5596.7074670777147</v>
      </c>
      <c r="P187" s="168">
        <f t="shared" si="54"/>
        <v>3240.199059887098</v>
      </c>
      <c r="Q187" s="168">
        <f t="shared" si="55"/>
        <v>2741.666666666667</v>
      </c>
      <c r="R187" s="168">
        <f t="shared" si="56"/>
        <v>3383.3333333333335</v>
      </c>
      <c r="S187" s="168">
        <f t="shared" si="57"/>
        <v>2408.3333333333335</v>
      </c>
      <c r="T187" s="168">
        <f t="shared" si="58"/>
        <v>5791.666666666667</v>
      </c>
      <c r="U187" s="168">
        <f t="shared" si="59"/>
        <v>4433.3333333333339</v>
      </c>
      <c r="V187" s="168">
        <f t="shared" si="60"/>
        <v>5308.3333333333339</v>
      </c>
      <c r="W187" s="168">
        <f t="shared" si="61"/>
        <v>7016.666666666667</v>
      </c>
      <c r="X187" s="168">
        <f t="shared" si="62"/>
        <v>6558.3333333333339</v>
      </c>
      <c r="Y187" s="168">
        <f t="shared" si="63"/>
        <v>7500</v>
      </c>
      <c r="Z187" s="190">
        <f t="array" ref="Z187">MIN(IF(Q187:Y187&gt;P187,Q187:Y187))</f>
        <v>3383.3333333333335</v>
      </c>
      <c r="AA187" s="184">
        <f t="shared" si="43"/>
        <v>5596.7074670777147</v>
      </c>
      <c r="AB187" s="168">
        <f t="shared" si="64"/>
        <v>6581.8181818181811</v>
      </c>
      <c r="AC187" s="187" t="str">
        <f t="shared" si="65"/>
        <v/>
      </c>
      <c r="AD187" s="187" t="str">
        <f t="shared" si="66"/>
        <v/>
      </c>
      <c r="AE187" s="187" t="str">
        <f t="shared" si="67"/>
        <v/>
      </c>
      <c r="AF187" s="187" t="str">
        <f t="shared" si="68"/>
        <v/>
      </c>
      <c r="AG187" s="187" t="str">
        <f t="shared" si="34"/>
        <v>Casing 5</v>
      </c>
      <c r="AH187" s="187" t="str">
        <f t="shared" si="69"/>
        <v/>
      </c>
      <c r="AI187" s="187" t="str">
        <f t="shared" si="70"/>
        <v/>
      </c>
      <c r="AJ187" s="187" t="str">
        <f t="shared" si="71"/>
        <v/>
      </c>
      <c r="AK187" s="187" t="str">
        <f t="shared" si="72"/>
        <v/>
      </c>
      <c r="AL187" s="187" t="str">
        <f t="shared" si="38"/>
        <v>Casing 5</v>
      </c>
      <c r="AM187" s="193">
        <f t="shared" si="35"/>
        <v>5.9980000000000002</v>
      </c>
      <c r="AN187" s="194">
        <f t="shared" si="36"/>
        <v>80000</v>
      </c>
      <c r="AO187" s="194">
        <f t="shared" si="37"/>
        <v>460000</v>
      </c>
      <c r="AP187" s="189">
        <f t="shared" si="39"/>
        <v>5.4191156842260186</v>
      </c>
      <c r="AQ187" s="189">
        <f t="shared" si="40"/>
        <v>5.195050881010272</v>
      </c>
      <c r="BE187" s="12"/>
    </row>
    <row r="188" spans="1:57">
      <c r="A188" s="184">
        <f t="shared" si="41"/>
        <v>5800.9599259495044</v>
      </c>
      <c r="B188" s="172">
        <f t="shared" si="73"/>
        <v>84358.182158928481</v>
      </c>
      <c r="C188" s="181">
        <f t="shared" si="74"/>
        <v>5800.9599259495044</v>
      </c>
      <c r="D188" s="168">
        <f t="shared" si="44"/>
        <v>5015.4610779646437</v>
      </c>
      <c r="E188" s="168">
        <f t="shared" si="45"/>
        <v>3963.6363636363635</v>
      </c>
      <c r="F188" s="168">
        <f t="shared" si="46"/>
        <v>4527.272727272727</v>
      </c>
      <c r="G188" s="168">
        <f t="shared" si="47"/>
        <v>3763.6363636363635</v>
      </c>
      <c r="H188" s="168">
        <f t="shared" si="48"/>
        <v>7381.8181818181811</v>
      </c>
      <c r="I188" s="168">
        <f t="shared" si="49"/>
        <v>6581.8181818181811</v>
      </c>
      <c r="J188" s="168">
        <f t="shared" si="50"/>
        <v>7418.181818181818</v>
      </c>
      <c r="K188" s="168">
        <f t="shared" si="51"/>
        <v>9054.545454545454</v>
      </c>
      <c r="L188" s="168">
        <f t="shared" si="52"/>
        <v>9872.7272727272721</v>
      </c>
      <c r="M188" s="168">
        <f t="shared" si="53"/>
        <v>10909.090909090908</v>
      </c>
      <c r="N188" s="168">
        <f t="array" ref="N188">MIN(IF(E188:M188&gt;D188,E188:M188))</f>
        <v>6581.8181818181811</v>
      </c>
      <c r="O188" s="184">
        <f t="shared" si="42"/>
        <v>5800.9599259495044</v>
      </c>
      <c r="P188" s="168">
        <f t="shared" si="54"/>
        <v>3358.4504834444501</v>
      </c>
      <c r="Q188" s="168">
        <f t="shared" si="55"/>
        <v>2741.666666666667</v>
      </c>
      <c r="R188" s="168">
        <f t="shared" si="56"/>
        <v>3383.3333333333335</v>
      </c>
      <c r="S188" s="168">
        <f t="shared" si="57"/>
        <v>2408.3333333333335</v>
      </c>
      <c r="T188" s="168">
        <f t="shared" si="58"/>
        <v>5791.666666666667</v>
      </c>
      <c r="U188" s="168">
        <f t="shared" si="59"/>
        <v>4433.3333333333339</v>
      </c>
      <c r="V188" s="168">
        <f t="shared" si="60"/>
        <v>5308.3333333333339</v>
      </c>
      <c r="W188" s="168">
        <f t="shared" si="61"/>
        <v>7016.666666666667</v>
      </c>
      <c r="X188" s="168">
        <f t="shared" si="62"/>
        <v>6558.3333333333339</v>
      </c>
      <c r="Y188" s="168">
        <f t="shared" si="63"/>
        <v>7500</v>
      </c>
      <c r="Z188" s="190">
        <f t="array" ref="Z188">MIN(IF(Q188:Y188&gt;P188,Q188:Y188))</f>
        <v>3383.3333333333335</v>
      </c>
      <c r="AA188" s="184">
        <f t="shared" si="43"/>
        <v>5800.9599259495044</v>
      </c>
      <c r="AB188" s="168">
        <f t="shared" si="64"/>
        <v>6581.8181818181811</v>
      </c>
      <c r="AC188" s="187" t="str">
        <f t="shared" si="65"/>
        <v/>
      </c>
      <c r="AD188" s="187" t="str">
        <f t="shared" si="66"/>
        <v/>
      </c>
      <c r="AE188" s="187" t="str">
        <f t="shared" si="67"/>
        <v/>
      </c>
      <c r="AF188" s="187" t="str">
        <f t="shared" si="68"/>
        <v/>
      </c>
      <c r="AG188" s="187" t="str">
        <f t="shared" si="34"/>
        <v>Casing 5</v>
      </c>
      <c r="AH188" s="187" t="str">
        <f t="shared" si="69"/>
        <v/>
      </c>
      <c r="AI188" s="187" t="str">
        <f t="shared" si="70"/>
        <v/>
      </c>
      <c r="AJ188" s="187" t="str">
        <f t="shared" si="71"/>
        <v/>
      </c>
      <c r="AK188" s="187" t="str">
        <f t="shared" si="72"/>
        <v/>
      </c>
      <c r="AL188" s="187" t="str">
        <f t="shared" si="38"/>
        <v>Casing 5</v>
      </c>
      <c r="AM188" s="193">
        <f t="shared" si="35"/>
        <v>5.9980000000000002</v>
      </c>
      <c r="AN188" s="194">
        <f t="shared" si="36"/>
        <v>80000</v>
      </c>
      <c r="AO188" s="194">
        <f t="shared" si="37"/>
        <v>460000</v>
      </c>
      <c r="AP188" s="189">
        <f t="shared" si="39"/>
        <v>5.6881263645059912</v>
      </c>
      <c r="AQ188" s="189">
        <f t="shared" si="40"/>
        <v>5.4529387455667635</v>
      </c>
      <c r="BE188" s="12"/>
    </row>
    <row r="189" spans="1:57">
      <c r="A189" s="184">
        <f t="shared" si="41"/>
        <v>6005.2123848212941</v>
      </c>
      <c r="B189" s="172">
        <f t="shared" si="73"/>
        <v>80172.215527814595</v>
      </c>
      <c r="C189" s="181">
        <f t="shared" si="74"/>
        <v>6005.2123848212941</v>
      </c>
      <c r="D189" s="168">
        <f t="shared" si="44"/>
        <v>4945.5852367716625</v>
      </c>
      <c r="E189" s="168">
        <f t="shared" si="45"/>
        <v>3963.6363636363635</v>
      </c>
      <c r="F189" s="168">
        <f t="shared" si="46"/>
        <v>4527.272727272727</v>
      </c>
      <c r="G189" s="168">
        <f t="shared" si="47"/>
        <v>3763.6363636363635</v>
      </c>
      <c r="H189" s="168">
        <f t="shared" si="48"/>
        <v>7381.8181818181811</v>
      </c>
      <c r="I189" s="168">
        <f t="shared" si="49"/>
        <v>6581.8181818181811</v>
      </c>
      <c r="J189" s="168">
        <f t="shared" si="50"/>
        <v>7418.181818181818</v>
      </c>
      <c r="K189" s="168">
        <f t="shared" si="51"/>
        <v>9054.545454545454</v>
      </c>
      <c r="L189" s="168">
        <f t="shared" si="52"/>
        <v>9872.7272727272721</v>
      </c>
      <c r="M189" s="168">
        <f t="shared" si="53"/>
        <v>10909.090909090908</v>
      </c>
      <c r="N189" s="168">
        <f t="array" ref="N189">MIN(IF(E189:M189&gt;D189,E189:M189))</f>
        <v>6581.8181818181811</v>
      </c>
      <c r="O189" s="184">
        <f t="shared" si="42"/>
        <v>6005.2123848212941</v>
      </c>
      <c r="P189" s="168">
        <f t="shared" si="54"/>
        <v>3476.7019070018018</v>
      </c>
      <c r="Q189" s="168">
        <f t="shared" si="55"/>
        <v>2741.666666666667</v>
      </c>
      <c r="R189" s="168">
        <f t="shared" si="56"/>
        <v>3383.3333333333335</v>
      </c>
      <c r="S189" s="168">
        <f t="shared" si="57"/>
        <v>2408.3333333333335</v>
      </c>
      <c r="T189" s="168">
        <f t="shared" si="58"/>
        <v>5791.666666666667</v>
      </c>
      <c r="U189" s="168">
        <f t="shared" si="59"/>
        <v>4433.3333333333339</v>
      </c>
      <c r="V189" s="168">
        <f t="shared" si="60"/>
        <v>5308.3333333333339</v>
      </c>
      <c r="W189" s="168">
        <f t="shared" si="61"/>
        <v>7016.666666666667</v>
      </c>
      <c r="X189" s="168">
        <f t="shared" si="62"/>
        <v>6558.3333333333339</v>
      </c>
      <c r="Y189" s="168">
        <f t="shared" si="63"/>
        <v>7500</v>
      </c>
      <c r="Z189" s="190">
        <f t="array" ref="Z189">MIN(IF(Q189:Y189&gt;P189,Q189:Y189))</f>
        <v>4433.3333333333339</v>
      </c>
      <c r="AA189" s="184">
        <f t="shared" si="43"/>
        <v>6005.2123848212941</v>
      </c>
      <c r="AB189" s="168">
        <f t="shared" si="64"/>
        <v>6581.8181818181811</v>
      </c>
      <c r="AC189" s="187" t="str">
        <f t="shared" si="65"/>
        <v/>
      </c>
      <c r="AD189" s="187" t="str">
        <f t="shared" si="66"/>
        <v/>
      </c>
      <c r="AE189" s="187" t="str">
        <f t="shared" si="67"/>
        <v/>
      </c>
      <c r="AF189" s="187" t="str">
        <f t="shared" si="68"/>
        <v/>
      </c>
      <c r="AG189" s="187" t="str">
        <f t="shared" si="34"/>
        <v>Casing 5</v>
      </c>
      <c r="AH189" s="187" t="str">
        <f t="shared" si="69"/>
        <v/>
      </c>
      <c r="AI189" s="187" t="str">
        <f t="shared" si="70"/>
        <v/>
      </c>
      <c r="AJ189" s="187" t="str">
        <f t="shared" si="71"/>
        <v/>
      </c>
      <c r="AK189" s="187" t="str">
        <f t="shared" si="72"/>
        <v/>
      </c>
      <c r="AL189" s="187" t="str">
        <f t="shared" si="38"/>
        <v>Casing 5</v>
      </c>
      <c r="AM189" s="193">
        <f t="shared" si="35"/>
        <v>5.9980000000000002</v>
      </c>
      <c r="AN189" s="194">
        <f t="shared" si="36"/>
        <v>80000</v>
      </c>
      <c r="AO189" s="194">
        <f t="shared" si="37"/>
        <v>460000</v>
      </c>
      <c r="AP189" s="189">
        <f t="shared" si="39"/>
        <v>5.9851158763789734</v>
      </c>
      <c r="AQ189" s="189">
        <f t="shared" si="40"/>
        <v>5.737648597729093</v>
      </c>
      <c r="BE189" s="12"/>
    </row>
    <row r="190" spans="1:57">
      <c r="A190" s="184">
        <f t="shared" si="41"/>
        <v>6209.4648436930838</v>
      </c>
      <c r="B190" s="172">
        <f t="shared" si="73"/>
        <v>75987.895105956617</v>
      </c>
      <c r="C190" s="181">
        <f t="shared" si="74"/>
        <v>6209.4648436930838</v>
      </c>
      <c r="D190" s="168">
        <f t="shared" si="44"/>
        <v>4875.7093955786822</v>
      </c>
      <c r="E190" s="168">
        <f t="shared" si="45"/>
        <v>3963.6363636363635</v>
      </c>
      <c r="F190" s="168">
        <f t="shared" si="46"/>
        <v>4527.272727272727</v>
      </c>
      <c r="G190" s="168">
        <f t="shared" si="47"/>
        <v>3763.6363636363635</v>
      </c>
      <c r="H190" s="168">
        <f t="shared" si="48"/>
        <v>7381.8181818181811</v>
      </c>
      <c r="I190" s="168">
        <f t="shared" si="49"/>
        <v>6581.8181818181811</v>
      </c>
      <c r="J190" s="168">
        <f t="shared" si="50"/>
        <v>7418.181818181818</v>
      </c>
      <c r="K190" s="168">
        <f t="shared" si="51"/>
        <v>9054.545454545454</v>
      </c>
      <c r="L190" s="168">
        <f t="shared" si="52"/>
        <v>9872.7272727272721</v>
      </c>
      <c r="M190" s="168">
        <f t="shared" si="53"/>
        <v>10909.090909090908</v>
      </c>
      <c r="N190" s="168">
        <f t="array" ref="N190">MIN(IF(E190:M190&gt;D190,E190:M190))</f>
        <v>6581.8181818181811</v>
      </c>
      <c r="O190" s="184">
        <f t="shared" si="42"/>
        <v>6209.4648436930838</v>
      </c>
      <c r="P190" s="168">
        <f t="shared" si="54"/>
        <v>3594.953330559154</v>
      </c>
      <c r="Q190" s="168">
        <f t="shared" si="55"/>
        <v>2741.666666666667</v>
      </c>
      <c r="R190" s="168">
        <f t="shared" si="56"/>
        <v>3383.3333333333335</v>
      </c>
      <c r="S190" s="168">
        <f t="shared" si="57"/>
        <v>2408.3333333333335</v>
      </c>
      <c r="T190" s="168">
        <f t="shared" si="58"/>
        <v>5791.666666666667</v>
      </c>
      <c r="U190" s="168">
        <f t="shared" si="59"/>
        <v>4433.3333333333339</v>
      </c>
      <c r="V190" s="168">
        <f t="shared" si="60"/>
        <v>5308.3333333333339</v>
      </c>
      <c r="W190" s="168">
        <f t="shared" si="61"/>
        <v>7016.666666666667</v>
      </c>
      <c r="X190" s="168">
        <f t="shared" si="62"/>
        <v>6558.3333333333339</v>
      </c>
      <c r="Y190" s="168">
        <f t="shared" si="63"/>
        <v>7500</v>
      </c>
      <c r="Z190" s="190">
        <f t="array" ref="Z190">MIN(IF(Q190:Y190&gt;P190,Q190:Y190))</f>
        <v>4433.3333333333339</v>
      </c>
      <c r="AA190" s="184">
        <f t="shared" si="43"/>
        <v>6209.4648436930838</v>
      </c>
      <c r="AB190" s="168">
        <f t="shared" si="64"/>
        <v>6581.8181818181811</v>
      </c>
      <c r="AC190" s="187" t="str">
        <f t="shared" si="65"/>
        <v/>
      </c>
      <c r="AD190" s="187" t="str">
        <f t="shared" si="66"/>
        <v/>
      </c>
      <c r="AE190" s="187" t="str">
        <f t="shared" si="67"/>
        <v/>
      </c>
      <c r="AF190" s="187" t="str">
        <f t="shared" si="68"/>
        <v/>
      </c>
      <c r="AG190" s="187" t="str">
        <f t="shared" si="34"/>
        <v>Casing 5</v>
      </c>
      <c r="AH190" s="187" t="str">
        <f t="shared" si="69"/>
        <v/>
      </c>
      <c r="AI190" s="187" t="str">
        <f t="shared" si="70"/>
        <v/>
      </c>
      <c r="AJ190" s="187" t="str">
        <f t="shared" si="71"/>
        <v/>
      </c>
      <c r="AK190" s="187" t="str">
        <f t="shared" si="72"/>
        <v/>
      </c>
      <c r="AL190" s="187" t="str">
        <f t="shared" si="38"/>
        <v>Casing 5</v>
      </c>
      <c r="AM190" s="193">
        <f t="shared" si="35"/>
        <v>5.9980000000000002</v>
      </c>
      <c r="AN190" s="194">
        <f t="shared" si="36"/>
        <v>80000</v>
      </c>
      <c r="AO190" s="194">
        <f t="shared" si="37"/>
        <v>460000</v>
      </c>
      <c r="AP190" s="189">
        <f t="shared" si="39"/>
        <v>6.3146899822783196</v>
      </c>
      <c r="AQ190" s="189">
        <f t="shared" si="40"/>
        <v>6.0535957649383692</v>
      </c>
      <c r="BE190" s="12"/>
    </row>
    <row r="191" spans="1:57">
      <c r="A191" s="184">
        <f t="shared" si="41"/>
        <v>6413.7173025648735</v>
      </c>
      <c r="B191" s="172">
        <f t="shared" si="73"/>
        <v>71805.20235859591</v>
      </c>
      <c r="C191" s="181">
        <f t="shared" si="74"/>
        <v>6413.7173025648735</v>
      </c>
      <c r="D191" s="168">
        <f t="shared" si="44"/>
        <v>4805.8335543857011</v>
      </c>
      <c r="E191" s="168">
        <f t="shared" si="45"/>
        <v>3963.6363636363635</v>
      </c>
      <c r="F191" s="168">
        <f t="shared" si="46"/>
        <v>4527.272727272727</v>
      </c>
      <c r="G191" s="168">
        <f t="shared" si="47"/>
        <v>3763.6363636363635</v>
      </c>
      <c r="H191" s="168">
        <f t="shared" si="48"/>
        <v>7381.8181818181811</v>
      </c>
      <c r="I191" s="168">
        <f t="shared" si="49"/>
        <v>6581.8181818181811</v>
      </c>
      <c r="J191" s="168">
        <f t="shared" si="50"/>
        <v>7418.181818181818</v>
      </c>
      <c r="K191" s="168">
        <f t="shared" si="51"/>
        <v>9054.545454545454</v>
      </c>
      <c r="L191" s="168">
        <f t="shared" si="52"/>
        <v>9872.7272727272721</v>
      </c>
      <c r="M191" s="168">
        <f t="shared" si="53"/>
        <v>10909.090909090908</v>
      </c>
      <c r="N191" s="168">
        <f t="array" ref="N191">MIN(IF(E191:M191&gt;D191,E191:M191))</f>
        <v>6581.8181818181811</v>
      </c>
      <c r="O191" s="184">
        <f t="shared" si="42"/>
        <v>6413.7173025648735</v>
      </c>
      <c r="P191" s="168">
        <f t="shared" si="54"/>
        <v>3713.2047541165057</v>
      </c>
      <c r="Q191" s="168">
        <f t="shared" si="55"/>
        <v>2741.666666666667</v>
      </c>
      <c r="R191" s="168">
        <f t="shared" si="56"/>
        <v>3383.3333333333335</v>
      </c>
      <c r="S191" s="168">
        <f t="shared" si="57"/>
        <v>2408.3333333333335</v>
      </c>
      <c r="T191" s="168">
        <f t="shared" si="58"/>
        <v>5791.666666666667</v>
      </c>
      <c r="U191" s="168">
        <f t="shared" si="59"/>
        <v>4433.3333333333339</v>
      </c>
      <c r="V191" s="168">
        <f t="shared" si="60"/>
        <v>5308.3333333333339</v>
      </c>
      <c r="W191" s="168">
        <f t="shared" si="61"/>
        <v>7016.666666666667</v>
      </c>
      <c r="X191" s="168">
        <f t="shared" si="62"/>
        <v>6558.3333333333339</v>
      </c>
      <c r="Y191" s="168">
        <f t="shared" si="63"/>
        <v>7500</v>
      </c>
      <c r="Z191" s="190">
        <f t="array" ref="Z191">MIN(IF(Q191:Y191&gt;P191,Q191:Y191))</f>
        <v>4433.3333333333339</v>
      </c>
      <c r="AA191" s="184">
        <f t="shared" si="43"/>
        <v>6413.7173025648735</v>
      </c>
      <c r="AB191" s="168">
        <f t="shared" si="64"/>
        <v>6581.8181818181811</v>
      </c>
      <c r="AC191" s="187" t="str">
        <f t="shared" si="65"/>
        <v/>
      </c>
      <c r="AD191" s="187" t="str">
        <f t="shared" si="66"/>
        <v/>
      </c>
      <c r="AE191" s="187" t="str">
        <f t="shared" si="67"/>
        <v/>
      </c>
      <c r="AF191" s="187" t="str">
        <f t="shared" si="68"/>
        <v/>
      </c>
      <c r="AG191" s="187" t="str">
        <f t="shared" si="34"/>
        <v>Casing 5</v>
      </c>
      <c r="AH191" s="187" t="str">
        <f t="shared" si="69"/>
        <v/>
      </c>
      <c r="AI191" s="187" t="str">
        <f t="shared" si="70"/>
        <v/>
      </c>
      <c r="AJ191" s="187" t="str">
        <f t="shared" si="71"/>
        <v/>
      </c>
      <c r="AK191" s="187" t="str">
        <f t="shared" si="72"/>
        <v/>
      </c>
      <c r="AL191" s="187" t="str">
        <f t="shared" si="38"/>
        <v>Casing 5</v>
      </c>
      <c r="AM191" s="193">
        <f t="shared" si="35"/>
        <v>5.9980000000000002</v>
      </c>
      <c r="AN191" s="194">
        <f t="shared" si="36"/>
        <v>80000</v>
      </c>
      <c r="AO191" s="194">
        <f t="shared" si="37"/>
        <v>460000</v>
      </c>
      <c r="AP191" s="189">
        <f t="shared" si="39"/>
        <v>6.6825241659187054</v>
      </c>
      <c r="AQ191" s="189">
        <f t="shared" si="40"/>
        <v>6.4062210660274355</v>
      </c>
      <c r="BE191" s="12"/>
    </row>
    <row r="192" spans="1:57">
      <c r="A192" s="184">
        <f t="shared" si="41"/>
        <v>6617.9697614366632</v>
      </c>
      <c r="B192" s="172">
        <f t="shared" si="73"/>
        <v>67624.117367027153</v>
      </c>
      <c r="C192" s="181">
        <f t="shared" si="74"/>
        <v>6617.9697614366632</v>
      </c>
      <c r="D192" s="168">
        <f t="shared" si="44"/>
        <v>4735.9577131927208</v>
      </c>
      <c r="E192" s="168">
        <f t="shared" si="45"/>
        <v>3963.6363636363635</v>
      </c>
      <c r="F192" s="168">
        <f t="shared" si="46"/>
        <v>4527.272727272727</v>
      </c>
      <c r="G192" s="168">
        <f t="shared" si="47"/>
        <v>3763.6363636363635</v>
      </c>
      <c r="H192" s="168">
        <f t="shared" si="48"/>
        <v>7381.8181818181811</v>
      </c>
      <c r="I192" s="168">
        <f t="shared" si="49"/>
        <v>6581.8181818181811</v>
      </c>
      <c r="J192" s="168">
        <f t="shared" si="50"/>
        <v>7418.181818181818</v>
      </c>
      <c r="K192" s="168">
        <f t="shared" si="51"/>
        <v>9054.545454545454</v>
      </c>
      <c r="L192" s="168">
        <f t="shared" si="52"/>
        <v>9872.7272727272721</v>
      </c>
      <c r="M192" s="168">
        <f t="shared" si="53"/>
        <v>10909.090909090908</v>
      </c>
      <c r="N192" s="168">
        <f t="array" ref="N192">MIN(IF(E192:M192&gt;D192,E192:M192))</f>
        <v>6581.8181818181811</v>
      </c>
      <c r="O192" s="184">
        <f t="shared" si="42"/>
        <v>6617.9697614366632</v>
      </c>
      <c r="P192" s="168">
        <f t="shared" si="54"/>
        <v>3831.4561776738578</v>
      </c>
      <c r="Q192" s="168">
        <f t="shared" si="55"/>
        <v>2741.666666666667</v>
      </c>
      <c r="R192" s="168">
        <f t="shared" si="56"/>
        <v>3383.3333333333335</v>
      </c>
      <c r="S192" s="168">
        <f t="shared" si="57"/>
        <v>2408.3333333333335</v>
      </c>
      <c r="T192" s="168">
        <f t="shared" si="58"/>
        <v>5791.666666666667</v>
      </c>
      <c r="U192" s="168">
        <f t="shared" si="59"/>
        <v>4433.3333333333339</v>
      </c>
      <c r="V192" s="168">
        <f t="shared" si="60"/>
        <v>5308.3333333333339</v>
      </c>
      <c r="W192" s="168">
        <f t="shared" si="61"/>
        <v>7016.666666666667</v>
      </c>
      <c r="X192" s="168">
        <f t="shared" si="62"/>
        <v>6558.3333333333339</v>
      </c>
      <c r="Y192" s="168">
        <f t="shared" si="63"/>
        <v>7500</v>
      </c>
      <c r="Z192" s="190">
        <f t="array" ref="Z192">MIN(IF(Q192:Y192&gt;P192,Q192:Y192))</f>
        <v>4433.3333333333339</v>
      </c>
      <c r="AA192" s="184">
        <f t="shared" si="43"/>
        <v>6617.9697614366632</v>
      </c>
      <c r="AB192" s="168">
        <f t="shared" si="64"/>
        <v>6581.8181818181811</v>
      </c>
      <c r="AC192" s="187" t="str">
        <f t="shared" si="65"/>
        <v/>
      </c>
      <c r="AD192" s="187" t="str">
        <f t="shared" si="66"/>
        <v/>
      </c>
      <c r="AE192" s="187" t="str">
        <f t="shared" si="67"/>
        <v/>
      </c>
      <c r="AF192" s="187" t="str">
        <f t="shared" si="68"/>
        <v/>
      </c>
      <c r="AG192" s="187" t="str">
        <f t="shared" si="34"/>
        <v>Casing 5</v>
      </c>
      <c r="AH192" s="187" t="str">
        <f t="shared" si="69"/>
        <v/>
      </c>
      <c r="AI192" s="187" t="str">
        <f t="shared" si="70"/>
        <v/>
      </c>
      <c r="AJ192" s="187" t="str">
        <f t="shared" si="71"/>
        <v/>
      </c>
      <c r="AK192" s="187" t="str">
        <f t="shared" si="72"/>
        <v/>
      </c>
      <c r="AL192" s="187" t="str">
        <f t="shared" si="38"/>
        <v>Casing 5</v>
      </c>
      <c r="AM192" s="193">
        <f t="shared" si="35"/>
        <v>5.9980000000000002</v>
      </c>
      <c r="AN192" s="194">
        <f t="shared" si="36"/>
        <v>80000</v>
      </c>
      <c r="AO192" s="194">
        <f t="shared" si="37"/>
        <v>460000</v>
      </c>
      <c r="AP192" s="189">
        <f t="shared" si="39"/>
        <v>7.0956933514664282</v>
      </c>
      <c r="AQ192" s="189">
        <f t="shared" si="40"/>
        <v>6.8023068974544785</v>
      </c>
      <c r="BE192" s="12"/>
    </row>
    <row r="193" spans="1:57">
      <c r="A193" s="184">
        <f t="shared" si="41"/>
        <v>6822.222220308453</v>
      </c>
      <c r="B193" s="172">
        <f t="shared" si="73"/>
        <v>63444.618706940069</v>
      </c>
      <c r="C193" s="181">
        <f t="shared" si="74"/>
        <v>6822.222220308453</v>
      </c>
      <c r="D193" s="168">
        <f t="shared" si="44"/>
        <v>4666.0818719997396</v>
      </c>
      <c r="E193" s="168">
        <f t="shared" si="45"/>
        <v>3963.6363636363635</v>
      </c>
      <c r="F193" s="168">
        <f t="shared" si="46"/>
        <v>4527.272727272727</v>
      </c>
      <c r="G193" s="168">
        <f t="shared" si="47"/>
        <v>3763.6363636363635</v>
      </c>
      <c r="H193" s="168">
        <f t="shared" si="48"/>
        <v>7381.8181818181811</v>
      </c>
      <c r="I193" s="168">
        <f t="shared" si="49"/>
        <v>6581.8181818181811</v>
      </c>
      <c r="J193" s="168">
        <f t="shared" si="50"/>
        <v>7418.181818181818</v>
      </c>
      <c r="K193" s="168">
        <f t="shared" si="51"/>
        <v>9054.545454545454</v>
      </c>
      <c r="L193" s="168">
        <f t="shared" si="52"/>
        <v>9872.7272727272721</v>
      </c>
      <c r="M193" s="168">
        <f t="shared" si="53"/>
        <v>10909.090909090908</v>
      </c>
      <c r="N193" s="168">
        <f t="array" ref="N193">MIN(IF(E193:M193&gt;D193,E193:M193))</f>
        <v>6581.8181818181811</v>
      </c>
      <c r="O193" s="184">
        <f t="shared" si="42"/>
        <v>6822.222220308453</v>
      </c>
      <c r="P193" s="168">
        <f t="shared" si="54"/>
        <v>3949.70760123121</v>
      </c>
      <c r="Q193" s="168">
        <f t="shared" si="55"/>
        <v>2741.666666666667</v>
      </c>
      <c r="R193" s="168">
        <f t="shared" si="56"/>
        <v>3383.3333333333335</v>
      </c>
      <c r="S193" s="168">
        <f t="shared" si="57"/>
        <v>2408.3333333333335</v>
      </c>
      <c r="T193" s="168">
        <f t="shared" si="58"/>
        <v>5791.666666666667</v>
      </c>
      <c r="U193" s="168">
        <f t="shared" si="59"/>
        <v>4433.3333333333339</v>
      </c>
      <c r="V193" s="168">
        <f t="shared" si="60"/>
        <v>5308.3333333333339</v>
      </c>
      <c r="W193" s="168">
        <f t="shared" si="61"/>
        <v>7016.666666666667</v>
      </c>
      <c r="X193" s="168">
        <f t="shared" si="62"/>
        <v>6558.3333333333339</v>
      </c>
      <c r="Y193" s="168">
        <f t="shared" si="63"/>
        <v>7500</v>
      </c>
      <c r="Z193" s="190">
        <f t="array" ref="Z193">MIN(IF(Q193:Y193&gt;P193,Q193:Y193))</f>
        <v>4433.3333333333339</v>
      </c>
      <c r="AA193" s="184">
        <f t="shared" si="43"/>
        <v>6822.222220308453</v>
      </c>
      <c r="AB193" s="168">
        <f t="shared" si="64"/>
        <v>6581.8181818181811</v>
      </c>
      <c r="AC193" s="187" t="str">
        <f t="shared" si="65"/>
        <v/>
      </c>
      <c r="AD193" s="187" t="str">
        <f t="shared" si="66"/>
        <v/>
      </c>
      <c r="AE193" s="187" t="str">
        <f t="shared" si="67"/>
        <v/>
      </c>
      <c r="AF193" s="187" t="str">
        <f t="shared" si="68"/>
        <v/>
      </c>
      <c r="AG193" s="187" t="str">
        <f t="shared" si="34"/>
        <v>Casing 5</v>
      </c>
      <c r="AH193" s="187" t="str">
        <f t="shared" si="69"/>
        <v/>
      </c>
      <c r="AI193" s="187" t="str">
        <f t="shared" si="70"/>
        <v/>
      </c>
      <c r="AJ193" s="187" t="str">
        <f t="shared" si="71"/>
        <v/>
      </c>
      <c r="AK193" s="187" t="str">
        <f t="shared" si="72"/>
        <v/>
      </c>
      <c r="AL193" s="187" t="str">
        <f t="shared" si="38"/>
        <v>Casing 5</v>
      </c>
      <c r="AM193" s="193">
        <f t="shared" si="35"/>
        <v>5.9980000000000002</v>
      </c>
      <c r="AN193" s="194">
        <f t="shared" si="36"/>
        <v>80000</v>
      </c>
      <c r="AO193" s="194">
        <f t="shared" si="37"/>
        <v>460000</v>
      </c>
      <c r="AP193" s="189">
        <f t="shared" si="39"/>
        <v>7.5631315906625716</v>
      </c>
      <c r="AQ193" s="189">
        <f t="shared" si="40"/>
        <v>7.2504179136895281</v>
      </c>
      <c r="BE193" s="12"/>
    </row>
    <row r="194" spans="1:57">
      <c r="A194" s="184">
        <f t="shared" si="41"/>
        <v>7026.4746791802427</v>
      </c>
      <c r="B194" s="172">
        <f t="shared" si="73"/>
        <v>59266.683316064547</v>
      </c>
      <c r="C194" s="181">
        <f t="shared" si="74"/>
        <v>7026.4746791802427</v>
      </c>
      <c r="D194" s="168">
        <f t="shared" si="44"/>
        <v>4596.2060308067594</v>
      </c>
      <c r="E194" s="168">
        <f t="shared" si="45"/>
        <v>3963.6363636363635</v>
      </c>
      <c r="F194" s="168">
        <f t="shared" si="46"/>
        <v>4527.272727272727</v>
      </c>
      <c r="G194" s="168">
        <f t="shared" si="47"/>
        <v>3763.6363636363635</v>
      </c>
      <c r="H194" s="168">
        <f t="shared" si="48"/>
        <v>7381.8181818181811</v>
      </c>
      <c r="I194" s="168">
        <f t="shared" si="49"/>
        <v>6581.8181818181811</v>
      </c>
      <c r="J194" s="168">
        <f t="shared" si="50"/>
        <v>7418.181818181818</v>
      </c>
      <c r="K194" s="168">
        <f t="shared" si="51"/>
        <v>9054.545454545454</v>
      </c>
      <c r="L194" s="168">
        <f t="shared" si="52"/>
        <v>9872.7272727272721</v>
      </c>
      <c r="M194" s="168">
        <f t="shared" si="53"/>
        <v>10909.090909090908</v>
      </c>
      <c r="N194" s="168">
        <f t="array" ref="N194">MIN(IF(E194:M194&gt;D194,E194:M194))</f>
        <v>6581.8181818181811</v>
      </c>
      <c r="O194" s="184">
        <f t="shared" si="42"/>
        <v>7026.4746791802427</v>
      </c>
      <c r="P194" s="168">
        <f t="shared" si="54"/>
        <v>4067.9590247885617</v>
      </c>
      <c r="Q194" s="168">
        <f t="shared" si="55"/>
        <v>2741.666666666667</v>
      </c>
      <c r="R194" s="168">
        <f t="shared" si="56"/>
        <v>3383.3333333333335</v>
      </c>
      <c r="S194" s="168">
        <f t="shared" si="57"/>
        <v>2408.3333333333335</v>
      </c>
      <c r="T194" s="168">
        <f t="shared" si="58"/>
        <v>5791.666666666667</v>
      </c>
      <c r="U194" s="168">
        <f t="shared" si="59"/>
        <v>4433.3333333333339</v>
      </c>
      <c r="V194" s="168">
        <f t="shared" si="60"/>
        <v>5308.3333333333339</v>
      </c>
      <c r="W194" s="168">
        <f t="shared" si="61"/>
        <v>7016.666666666667</v>
      </c>
      <c r="X194" s="168">
        <f t="shared" si="62"/>
        <v>6558.3333333333339</v>
      </c>
      <c r="Y194" s="168">
        <f t="shared" si="63"/>
        <v>7500</v>
      </c>
      <c r="Z194" s="190">
        <f t="array" ref="Z194">MIN(IF(Q194:Y194&gt;P194,Q194:Y194))</f>
        <v>4433.3333333333339</v>
      </c>
      <c r="AA194" s="184">
        <f t="shared" si="43"/>
        <v>7026.4746791802427</v>
      </c>
      <c r="AB194" s="168">
        <f t="shared" si="64"/>
        <v>6581.8181818181811</v>
      </c>
      <c r="AC194" s="187" t="str">
        <f t="shared" si="65"/>
        <v/>
      </c>
      <c r="AD194" s="187" t="str">
        <f t="shared" si="66"/>
        <v/>
      </c>
      <c r="AE194" s="187" t="str">
        <f t="shared" si="67"/>
        <v/>
      </c>
      <c r="AF194" s="187" t="str">
        <f t="shared" si="68"/>
        <v/>
      </c>
      <c r="AG194" s="187" t="str">
        <f t="shared" si="34"/>
        <v>Casing 5</v>
      </c>
      <c r="AH194" s="187" t="str">
        <f t="shared" si="69"/>
        <v/>
      </c>
      <c r="AI194" s="187" t="str">
        <f t="shared" si="70"/>
        <v/>
      </c>
      <c r="AJ194" s="187" t="str">
        <f t="shared" si="71"/>
        <v/>
      </c>
      <c r="AK194" s="187" t="str">
        <f t="shared" si="72"/>
        <v/>
      </c>
      <c r="AL194" s="187" t="str">
        <f t="shared" si="38"/>
        <v>Casing 5</v>
      </c>
      <c r="AM194" s="193">
        <f t="shared" si="35"/>
        <v>5.9980000000000002</v>
      </c>
      <c r="AN194" s="194">
        <f t="shared" si="36"/>
        <v>80000</v>
      </c>
      <c r="AO194" s="194">
        <f t="shared" si="37"/>
        <v>460000</v>
      </c>
      <c r="AP194" s="189">
        <f t="shared" si="39"/>
        <v>8.0962856895677984</v>
      </c>
      <c r="AQ194" s="189">
        <f t="shared" si="40"/>
        <v>7.7615276283785999</v>
      </c>
      <c r="BE194" s="12"/>
    </row>
    <row r="195" spans="1:57">
      <c r="A195" s="184">
        <f t="shared" si="41"/>
        <v>7230.7321293675577</v>
      </c>
      <c r="B195" s="172">
        <f t="shared" si="73"/>
        <v>55090.286350542956</v>
      </c>
      <c r="C195" s="181">
        <f t="shared" si="74"/>
        <v>7230.7321293675577</v>
      </c>
      <c r="D195" s="168">
        <f t="shared" si="44"/>
        <v>4526.3284820584668</v>
      </c>
      <c r="E195" s="168">
        <f t="shared" si="45"/>
        <v>3963.6363636363635</v>
      </c>
      <c r="F195" s="168">
        <f t="shared" si="46"/>
        <v>4527.272727272727</v>
      </c>
      <c r="G195" s="168">
        <f t="shared" si="47"/>
        <v>3763.6363636363635</v>
      </c>
      <c r="H195" s="168">
        <f t="shared" si="48"/>
        <v>7381.8181818181811</v>
      </c>
      <c r="I195" s="168">
        <f t="shared" si="49"/>
        <v>6581.8181818181811</v>
      </c>
      <c r="J195" s="168">
        <f t="shared" si="50"/>
        <v>7418.181818181818</v>
      </c>
      <c r="K195" s="168">
        <f t="shared" si="51"/>
        <v>9054.545454545454</v>
      </c>
      <c r="L195" s="168">
        <f t="shared" si="52"/>
        <v>9872.7272727272721</v>
      </c>
      <c r="M195" s="168">
        <f t="shared" si="53"/>
        <v>10909.090909090908</v>
      </c>
      <c r="N195" s="168">
        <f t="array" ref="N195">MIN(IF(E195:M195&gt;D195,E195:M195))</f>
        <v>4527.272727272727</v>
      </c>
      <c r="O195" s="184">
        <f t="shared" si="42"/>
        <v>7230.7321293675577</v>
      </c>
      <c r="P195" s="168">
        <f t="shared" si="54"/>
        <v>4186.2133380549021</v>
      </c>
      <c r="Q195" s="168">
        <f t="shared" si="55"/>
        <v>2741.666666666667</v>
      </c>
      <c r="R195" s="168">
        <f t="shared" si="56"/>
        <v>3383.3333333333335</v>
      </c>
      <c r="S195" s="168">
        <f t="shared" si="57"/>
        <v>2408.3333333333335</v>
      </c>
      <c r="T195" s="168">
        <f t="shared" si="58"/>
        <v>5791.666666666667</v>
      </c>
      <c r="U195" s="168">
        <f t="shared" si="59"/>
        <v>4433.3333333333339</v>
      </c>
      <c r="V195" s="168">
        <f t="shared" si="60"/>
        <v>5308.3333333333339</v>
      </c>
      <c r="W195" s="168">
        <f t="shared" si="61"/>
        <v>7016.666666666667</v>
      </c>
      <c r="X195" s="168">
        <f t="shared" si="62"/>
        <v>6558.3333333333339</v>
      </c>
      <c r="Y195" s="168">
        <f t="shared" si="63"/>
        <v>7500</v>
      </c>
      <c r="Z195" s="190">
        <f t="array" ref="Z195">MIN(IF(Q195:Y195&gt;P195,Q195:Y195))</f>
        <v>4433.3333333333339</v>
      </c>
      <c r="AA195" s="184">
        <f t="shared" si="43"/>
        <v>7230.7321293675577</v>
      </c>
      <c r="AB195" s="168">
        <f t="shared" si="64"/>
        <v>4527.272727272727</v>
      </c>
      <c r="AC195" s="187" t="str">
        <f t="shared" si="65"/>
        <v/>
      </c>
      <c r="AD195" s="187" t="str">
        <f t="shared" si="66"/>
        <v>Casing 2</v>
      </c>
      <c r="AE195" s="187" t="str">
        <f t="shared" si="67"/>
        <v/>
      </c>
      <c r="AF195" s="187" t="str">
        <f t="shared" si="68"/>
        <v/>
      </c>
      <c r="AG195" s="187" t="str">
        <f t="shared" si="34"/>
        <v/>
      </c>
      <c r="AH195" s="187" t="str">
        <f t="shared" si="69"/>
        <v/>
      </c>
      <c r="AI195" s="187" t="str">
        <f t="shared" si="70"/>
        <v/>
      </c>
      <c r="AJ195" s="187" t="str">
        <f t="shared" si="71"/>
        <v/>
      </c>
      <c r="AK195" s="187" t="str">
        <f t="shared" si="72"/>
        <v/>
      </c>
      <c r="AL195" s="187" t="str">
        <f t="shared" si="38"/>
        <v>Casing 2</v>
      </c>
      <c r="AM195" s="193">
        <f t="shared" si="35"/>
        <v>5.75</v>
      </c>
      <c r="AN195" s="194">
        <f t="shared" si="36"/>
        <v>55000</v>
      </c>
      <c r="AO195" s="194">
        <f t="shared" si="37"/>
        <v>345000</v>
      </c>
      <c r="AP195" s="189">
        <f t="shared" si="39"/>
        <v>5.7405764418736434</v>
      </c>
      <c r="AQ195" s="189">
        <f t="shared" si="40"/>
        <v>6.2624470274985198</v>
      </c>
      <c r="BE195" s="12"/>
    </row>
    <row r="196" spans="1:57">
      <c r="A196" s="184">
        <f t="shared" si="41"/>
        <v>7343.5766049210833</v>
      </c>
      <c r="B196" s="172">
        <f t="shared" si="73"/>
        <v>49684.397689156416</v>
      </c>
      <c r="C196" s="181">
        <f t="shared" si="74"/>
        <v>7343.5766049210833</v>
      </c>
      <c r="D196" s="168">
        <f t="shared" si="44"/>
        <v>4487.7237930533138</v>
      </c>
      <c r="E196" s="168">
        <f t="shared" si="45"/>
        <v>3963.6363636363635</v>
      </c>
      <c r="F196" s="168">
        <f t="shared" si="46"/>
        <v>4527.272727272727</v>
      </c>
      <c r="G196" s="168">
        <f t="shared" si="47"/>
        <v>3763.6363636363635</v>
      </c>
      <c r="H196" s="168">
        <f t="shared" si="48"/>
        <v>7381.8181818181811</v>
      </c>
      <c r="I196" s="168">
        <f t="shared" si="49"/>
        <v>6581.8181818181811</v>
      </c>
      <c r="J196" s="168">
        <f t="shared" si="50"/>
        <v>7418.181818181818</v>
      </c>
      <c r="K196" s="168">
        <f t="shared" si="51"/>
        <v>9054.545454545454</v>
      </c>
      <c r="L196" s="168">
        <f t="shared" si="52"/>
        <v>9872.7272727272721</v>
      </c>
      <c r="M196" s="168">
        <f t="shared" si="53"/>
        <v>10909.090909090908</v>
      </c>
      <c r="N196" s="168">
        <f t="array" ref="N196">MIN(IF(E196:M196&gt;D196,E196:M196))</f>
        <v>4527.272727272727</v>
      </c>
      <c r="O196" s="184">
        <f t="shared" si="42"/>
        <v>7343.5766049210833</v>
      </c>
      <c r="P196" s="168">
        <f t="shared" si="54"/>
        <v>4251.5443502174694</v>
      </c>
      <c r="Q196" s="168">
        <f t="shared" si="55"/>
        <v>2741.666666666667</v>
      </c>
      <c r="R196" s="168">
        <f t="shared" si="56"/>
        <v>3383.3333333333335</v>
      </c>
      <c r="S196" s="168">
        <f t="shared" si="57"/>
        <v>2408.3333333333335</v>
      </c>
      <c r="T196" s="168">
        <f t="shared" si="58"/>
        <v>5791.666666666667</v>
      </c>
      <c r="U196" s="168">
        <f t="shared" si="59"/>
        <v>4433.3333333333339</v>
      </c>
      <c r="V196" s="168">
        <f t="shared" si="60"/>
        <v>5308.3333333333339</v>
      </c>
      <c r="W196" s="168">
        <f t="shared" si="61"/>
        <v>7016.666666666667</v>
      </c>
      <c r="X196" s="168">
        <f t="shared" si="62"/>
        <v>6558.3333333333339</v>
      </c>
      <c r="Y196" s="168">
        <f t="shared" si="63"/>
        <v>7500</v>
      </c>
      <c r="Z196" s="190">
        <f t="array" ref="Z196">MIN(IF(Q196:Y196&gt;P196,Q196:Y196))</f>
        <v>4433.3333333333339</v>
      </c>
      <c r="AA196" s="184">
        <f t="shared" si="43"/>
        <v>7343.5766049210833</v>
      </c>
      <c r="AB196" s="168">
        <f t="shared" si="64"/>
        <v>4527.272727272727</v>
      </c>
      <c r="AC196" s="187" t="str">
        <f t="shared" si="65"/>
        <v/>
      </c>
      <c r="AD196" s="187" t="str">
        <f t="shared" si="66"/>
        <v>Casing 2</v>
      </c>
      <c r="AE196" s="187" t="str">
        <f t="shared" si="67"/>
        <v/>
      </c>
      <c r="AF196" s="187" t="str">
        <f t="shared" si="68"/>
        <v/>
      </c>
      <c r="AG196" s="187" t="str">
        <f t="shared" si="34"/>
        <v/>
      </c>
      <c r="AH196" s="187" t="str">
        <f t="shared" si="69"/>
        <v/>
      </c>
      <c r="AI196" s="187" t="str">
        <f t="shared" si="70"/>
        <v/>
      </c>
      <c r="AJ196" s="187" t="str">
        <f t="shared" si="71"/>
        <v/>
      </c>
      <c r="AK196" s="187" t="str">
        <f t="shared" si="72"/>
        <v/>
      </c>
      <c r="AL196" s="187" t="str">
        <f t="shared" si="38"/>
        <v>Casing 2</v>
      </c>
      <c r="AM196" s="193">
        <f t="shared" si="35"/>
        <v>5.75</v>
      </c>
      <c r="AN196" s="194">
        <f t="shared" si="36"/>
        <v>55000</v>
      </c>
      <c r="AO196" s="194">
        <f t="shared" si="37"/>
        <v>345000</v>
      </c>
      <c r="AP196" s="189">
        <f t="shared" si="39"/>
        <v>6.3651772932535993</v>
      </c>
      <c r="AQ196" s="189">
        <f t="shared" si="40"/>
        <v>6.9438297744584716</v>
      </c>
      <c r="BE196" s="12"/>
    </row>
    <row r="197" spans="1:57">
      <c r="A197" s="184">
        <f t="shared" si="41"/>
        <v>7456.4261280159963</v>
      </c>
      <c r="B197" s="172">
        <f t="shared" si="73"/>
        <v>49621.806927856393</v>
      </c>
      <c r="C197" s="181">
        <f t="shared" si="74"/>
        <v>7456.4261280159963</v>
      </c>
      <c r="D197" s="168">
        <f t="shared" si="44"/>
        <v>4449.1173772576858</v>
      </c>
      <c r="E197" s="168">
        <f t="shared" si="45"/>
        <v>3963.6363636363635</v>
      </c>
      <c r="F197" s="168">
        <f t="shared" si="46"/>
        <v>4527.272727272727</v>
      </c>
      <c r="G197" s="168">
        <f t="shared" si="47"/>
        <v>3763.6363636363635</v>
      </c>
      <c r="H197" s="168">
        <f t="shared" si="48"/>
        <v>7381.8181818181811</v>
      </c>
      <c r="I197" s="168">
        <f t="shared" si="49"/>
        <v>6581.8181818181811</v>
      </c>
      <c r="J197" s="168">
        <f t="shared" si="50"/>
        <v>7418.181818181818</v>
      </c>
      <c r="K197" s="168">
        <f t="shared" si="51"/>
        <v>9054.545454545454</v>
      </c>
      <c r="L197" s="168">
        <f t="shared" si="52"/>
        <v>9872.7272727272721</v>
      </c>
      <c r="M197" s="168">
        <f t="shared" si="53"/>
        <v>10909.090909090908</v>
      </c>
      <c r="N197" s="168">
        <f t="array" ref="N197">MIN(IF(E197:M197&gt;D197,E197:M197))</f>
        <v>4527.272727272727</v>
      </c>
      <c r="O197" s="184">
        <f t="shared" si="42"/>
        <v>7456.4261280159963</v>
      </c>
      <c r="P197" s="168">
        <f t="shared" si="54"/>
        <v>4316.8782846408403</v>
      </c>
      <c r="Q197" s="168">
        <f t="shared" si="55"/>
        <v>2741.666666666667</v>
      </c>
      <c r="R197" s="168">
        <f t="shared" si="56"/>
        <v>3383.3333333333335</v>
      </c>
      <c r="S197" s="168">
        <f t="shared" si="57"/>
        <v>2408.3333333333335</v>
      </c>
      <c r="T197" s="168">
        <f t="shared" si="58"/>
        <v>5791.666666666667</v>
      </c>
      <c r="U197" s="168">
        <f t="shared" si="59"/>
        <v>4433.3333333333339</v>
      </c>
      <c r="V197" s="168">
        <f t="shared" si="60"/>
        <v>5308.3333333333339</v>
      </c>
      <c r="W197" s="168">
        <f t="shared" si="61"/>
        <v>7016.666666666667</v>
      </c>
      <c r="X197" s="168">
        <f t="shared" si="62"/>
        <v>6558.3333333333339</v>
      </c>
      <c r="Y197" s="168">
        <f t="shared" si="63"/>
        <v>7500</v>
      </c>
      <c r="Z197" s="190">
        <f t="array" ref="Z197">MIN(IF(Q197:Y197&gt;P197,Q197:Y197))</f>
        <v>4433.3333333333339</v>
      </c>
      <c r="AA197" s="184">
        <f t="shared" si="43"/>
        <v>7456.4261280159963</v>
      </c>
      <c r="AB197" s="168">
        <f t="shared" si="64"/>
        <v>4527.272727272727</v>
      </c>
      <c r="AC197" s="187" t="str">
        <f t="shared" si="65"/>
        <v/>
      </c>
      <c r="AD197" s="187" t="str">
        <f t="shared" si="66"/>
        <v>Casing 2</v>
      </c>
      <c r="AE197" s="187" t="str">
        <f t="shared" si="67"/>
        <v/>
      </c>
      <c r="AF197" s="187" t="str">
        <f t="shared" si="68"/>
        <v/>
      </c>
      <c r="AG197" s="187" t="str">
        <f t="shared" si="34"/>
        <v/>
      </c>
      <c r="AH197" s="187" t="str">
        <f t="shared" si="69"/>
        <v/>
      </c>
      <c r="AI197" s="187" t="str">
        <f t="shared" si="70"/>
        <v/>
      </c>
      <c r="AJ197" s="187" t="str">
        <f t="shared" si="71"/>
        <v/>
      </c>
      <c r="AK197" s="187" t="str">
        <f t="shared" si="72"/>
        <v/>
      </c>
      <c r="AL197" s="187" t="str">
        <f t="shared" si="38"/>
        <v>Casing 2</v>
      </c>
      <c r="AM197" s="193">
        <f t="shared" si="35"/>
        <v>5.75</v>
      </c>
      <c r="AN197" s="194">
        <f t="shared" si="36"/>
        <v>55000</v>
      </c>
      <c r="AO197" s="194">
        <f t="shared" si="37"/>
        <v>345000</v>
      </c>
      <c r="AP197" s="189">
        <f t="shared" si="39"/>
        <v>6.3732060474900898</v>
      </c>
      <c r="AQ197" s="189">
        <f t="shared" si="40"/>
        <v>6.9525884154437341</v>
      </c>
      <c r="BE197" s="12"/>
    </row>
    <row r="198" spans="1:57">
      <c r="A198" s="184">
        <f t="shared" ref="A198:A215" si="75">O198</f>
        <v>7569.2804183024182</v>
      </c>
      <c r="B198" s="172">
        <f t="shared" si="73"/>
        <v>49559.208802593159</v>
      </c>
      <c r="C198" s="181">
        <f t="shared" si="74"/>
        <v>7569.2804183024182</v>
      </c>
      <c r="D198" s="168">
        <f t="shared" si="44"/>
        <v>4410.5093305807513</v>
      </c>
      <c r="E198" s="168">
        <f t="shared" si="45"/>
        <v>3963.6363636363635</v>
      </c>
      <c r="F198" s="168">
        <f t="shared" si="46"/>
        <v>4527.272727272727</v>
      </c>
      <c r="G198" s="168">
        <f t="shared" si="47"/>
        <v>3763.6363636363635</v>
      </c>
      <c r="H198" s="168">
        <f t="shared" si="48"/>
        <v>7381.8181818181811</v>
      </c>
      <c r="I198" s="168">
        <f t="shared" si="49"/>
        <v>6581.8181818181811</v>
      </c>
      <c r="J198" s="168">
        <f t="shared" si="50"/>
        <v>7418.181818181818</v>
      </c>
      <c r="K198" s="168">
        <f t="shared" si="51"/>
        <v>9054.545454545454</v>
      </c>
      <c r="L198" s="168">
        <f t="shared" si="52"/>
        <v>9872.7272727272721</v>
      </c>
      <c r="M198" s="168">
        <f t="shared" si="53"/>
        <v>10909.090909090908</v>
      </c>
      <c r="N198" s="168">
        <f t="array" ref="N198">MIN(IF(E198:M198&gt;D198,E198:M198))</f>
        <v>4527.272727272727</v>
      </c>
      <c r="O198" s="184">
        <f t="shared" ref="O198:O215" si="76">C198</f>
        <v>7569.2804183024182</v>
      </c>
      <c r="P198" s="168">
        <f t="shared" si="54"/>
        <v>4382.2149790171898</v>
      </c>
      <c r="Q198" s="168">
        <f t="shared" si="55"/>
        <v>2741.666666666667</v>
      </c>
      <c r="R198" s="168">
        <f t="shared" si="56"/>
        <v>3383.3333333333335</v>
      </c>
      <c r="S198" s="168">
        <f t="shared" si="57"/>
        <v>2408.3333333333335</v>
      </c>
      <c r="T198" s="168">
        <f t="shared" si="58"/>
        <v>5791.666666666667</v>
      </c>
      <c r="U198" s="168">
        <f t="shared" si="59"/>
        <v>4433.3333333333339</v>
      </c>
      <c r="V198" s="168">
        <f t="shared" si="60"/>
        <v>5308.3333333333339</v>
      </c>
      <c r="W198" s="168">
        <f t="shared" si="61"/>
        <v>7016.666666666667</v>
      </c>
      <c r="X198" s="168">
        <f t="shared" si="62"/>
        <v>6558.3333333333339</v>
      </c>
      <c r="Y198" s="168">
        <f t="shared" si="63"/>
        <v>7500</v>
      </c>
      <c r="Z198" s="190">
        <f t="array" ref="Z198">MIN(IF(Q198:Y198&gt;P198,Q198:Y198))</f>
        <v>4433.3333333333339</v>
      </c>
      <c r="AA198" s="184">
        <f t="shared" ref="AA198:AA215" si="77">O198</f>
        <v>7569.2804183024182</v>
      </c>
      <c r="AB198" s="168">
        <f t="shared" si="64"/>
        <v>4527.272727272727</v>
      </c>
      <c r="AC198" s="187" t="str">
        <f t="shared" si="65"/>
        <v/>
      </c>
      <c r="AD198" s="187" t="str">
        <f t="shared" si="66"/>
        <v>Casing 2</v>
      </c>
      <c r="AE198" s="187" t="str">
        <f t="shared" si="67"/>
        <v/>
      </c>
      <c r="AF198" s="187" t="str">
        <f t="shared" si="68"/>
        <v/>
      </c>
      <c r="AG198" s="187" t="str">
        <f t="shared" si="34"/>
        <v/>
      </c>
      <c r="AH198" s="187" t="str">
        <f t="shared" si="69"/>
        <v/>
      </c>
      <c r="AI198" s="187" t="str">
        <f t="shared" si="70"/>
        <v/>
      </c>
      <c r="AJ198" s="187" t="str">
        <f t="shared" si="71"/>
        <v/>
      </c>
      <c r="AK198" s="187" t="str">
        <f t="shared" si="72"/>
        <v/>
      </c>
      <c r="AL198" s="187" t="str">
        <f t="shared" si="38"/>
        <v>Casing 2</v>
      </c>
      <c r="AM198" s="193">
        <f t="shared" si="35"/>
        <v>5.75</v>
      </c>
      <c r="AN198" s="194">
        <f t="shared" si="36"/>
        <v>55000</v>
      </c>
      <c r="AO198" s="194">
        <f t="shared" si="37"/>
        <v>345000</v>
      </c>
      <c r="AP198" s="189">
        <f t="shared" si="39"/>
        <v>6.3812560297260514</v>
      </c>
      <c r="AQ198" s="189">
        <f t="shared" si="40"/>
        <v>6.9613702142466014</v>
      </c>
      <c r="BE198" s="12"/>
    </row>
    <row r="199" spans="1:57">
      <c r="A199" s="184">
        <f t="shared" si="75"/>
        <v>7682.1391954186265</v>
      </c>
      <c r="B199" s="172">
        <f t="shared" si="73"/>
        <v>49496.60342500126</v>
      </c>
      <c r="C199" s="181">
        <f t="shared" si="74"/>
        <v>7682.1391954186265</v>
      </c>
      <c r="D199" s="168">
        <f t="shared" ref="D199:D230" si="78">(C199-$D$128)/$B$128</f>
        <v>4371.8997489357334</v>
      </c>
      <c r="E199" s="168">
        <f t="shared" ref="E199:E215" si="79">$F$113/$G$125</f>
        <v>3963.6363636363635</v>
      </c>
      <c r="F199" s="168">
        <f t="shared" ref="F199:F215" si="80">$F$114/$G$125</f>
        <v>4527.272727272727</v>
      </c>
      <c r="G199" s="168">
        <f t="shared" ref="G199:G215" si="81">$F$115/$G$125</f>
        <v>3763.6363636363635</v>
      </c>
      <c r="H199" s="168">
        <f t="shared" ref="H199:H215" si="82">$F$116/$G$125</f>
        <v>7381.8181818181811</v>
      </c>
      <c r="I199" s="168">
        <f t="shared" ref="I199:I215" si="83">$F$117/$G$125</f>
        <v>6581.8181818181811</v>
      </c>
      <c r="J199" s="168">
        <f t="shared" ref="J199:J215" si="84">$F$118/$G$125</f>
        <v>7418.181818181818</v>
      </c>
      <c r="K199" s="168">
        <f t="shared" ref="K199:K215" si="85">$F$119/$G$125</f>
        <v>9054.545454545454</v>
      </c>
      <c r="L199" s="168">
        <f t="shared" ref="L199:L215" si="86">$F$120/$G$125</f>
        <v>9872.7272727272721</v>
      </c>
      <c r="M199" s="168">
        <f t="shared" ref="M199:M215" si="87">$F$121/$G$125</f>
        <v>10909.090909090908</v>
      </c>
      <c r="N199" s="168">
        <f t="array" ref="N199">MIN(IF(E199:M199&gt;D199,E199:M199))</f>
        <v>4527.272727272727</v>
      </c>
      <c r="O199" s="184">
        <f t="shared" si="76"/>
        <v>7682.1391954186265</v>
      </c>
      <c r="P199" s="168">
        <f t="shared" ref="P199:P230" si="88">(1/$B$127)*O199</f>
        <v>4447.5542710318368</v>
      </c>
      <c r="Q199" s="168">
        <f t="shared" ref="Q199:Q215" si="89">$E$113/$G$124</f>
        <v>2741.666666666667</v>
      </c>
      <c r="R199" s="168">
        <f t="shared" ref="R199:R215" si="90">$E$114/$G$124</f>
        <v>3383.3333333333335</v>
      </c>
      <c r="S199" s="168">
        <f t="shared" ref="S199:S215" si="91">$E$115/$G$124</f>
        <v>2408.3333333333335</v>
      </c>
      <c r="T199" s="168">
        <f t="shared" ref="T199:T215" si="92">$E$116/$G$124</f>
        <v>5791.666666666667</v>
      </c>
      <c r="U199" s="168">
        <f t="shared" ref="U199:U215" si="93">$E$117/$G$124</f>
        <v>4433.3333333333339</v>
      </c>
      <c r="V199" s="168">
        <f t="shared" ref="V199:V215" si="94">$E$118/$G$124</f>
        <v>5308.3333333333339</v>
      </c>
      <c r="W199" s="168">
        <f t="shared" ref="W199:W215" si="95">$E$119/$G$124</f>
        <v>7016.666666666667</v>
      </c>
      <c r="X199" s="168">
        <f t="shared" ref="X199:X215" si="96">$E$120/$G$124</f>
        <v>6558.3333333333339</v>
      </c>
      <c r="Y199" s="168">
        <f t="shared" ref="Y199:Y215" si="97">$E$121/$G$124</f>
        <v>7500</v>
      </c>
      <c r="Z199" s="190">
        <f t="array" ref="Z199">MIN(IF(Q199:Y199&gt;P199,Q199:Y199))</f>
        <v>5308.3333333333339</v>
      </c>
      <c r="AA199" s="184">
        <f t="shared" si="77"/>
        <v>7682.1391954186265</v>
      </c>
      <c r="AB199" s="168">
        <f t="shared" ref="AB199:AB215" si="98">MAX(N199,Z199)</f>
        <v>5308.3333333333339</v>
      </c>
      <c r="AC199" s="187" t="str">
        <f t="shared" ref="AC199:AC230" si="99">IF(OR(E199=AB199,Q199=AB199),$E$134,"")</f>
        <v/>
      </c>
      <c r="AD199" s="187" t="str">
        <f t="shared" ref="AD199:AD215" si="100">IF(OR(F199=AB199,R199=AB199),$F$134,"")</f>
        <v/>
      </c>
      <c r="AE199" s="187" t="str">
        <f t="shared" ref="AE199:AE215" si="101">IF(OR(G199=AB199,S199=AB199),$G$134,"")</f>
        <v/>
      </c>
      <c r="AF199" s="187" t="str">
        <f t="shared" ref="AF199:AF215" si="102">IF(OR(H199=AB199,T199=AB199),$H$134,"")</f>
        <v/>
      </c>
      <c r="AG199" s="187" t="str">
        <f t="shared" si="34"/>
        <v/>
      </c>
      <c r="AH199" s="187" t="str">
        <f t="shared" ref="AH199:AH215" si="103">IF(OR(J199=AB199,V199=AB199),$J$134,"")</f>
        <v>Casing 6</v>
      </c>
      <c r="AI199" s="187" t="str">
        <f t="shared" ref="AI199:AI215" si="104">IF(OR(K199=AB199,W199=AB199),$K$134,"")</f>
        <v/>
      </c>
      <c r="AJ199" s="187" t="str">
        <f t="shared" ref="AJ199:AJ215" si="105">IF(OR(L199=AB199,Y199=AB199),$L$134,"")</f>
        <v/>
      </c>
      <c r="AK199" s="187" t="str">
        <f t="shared" ref="AK199:AK215" si="106">IF(OR(M199=AB199,Y199=AB199),$M$134,"")</f>
        <v/>
      </c>
      <c r="AL199" s="187" t="str">
        <f t="shared" si="38"/>
        <v>Casing 6</v>
      </c>
      <c r="AM199" s="193">
        <f t="shared" si="35"/>
        <v>6.899</v>
      </c>
      <c r="AN199" s="194">
        <f t="shared" si="36"/>
        <v>80000</v>
      </c>
      <c r="AO199" s="194">
        <f t="shared" si="37"/>
        <v>520000</v>
      </c>
      <c r="AP199" s="189">
        <f t="shared" si="39"/>
        <v>11.150664122565214</v>
      </c>
      <c r="AQ199" s="189">
        <f t="shared" si="40"/>
        <v>10.505771386675443</v>
      </c>
      <c r="BE199" s="12"/>
    </row>
    <row r="200" spans="1:57">
      <c r="A200" s="184">
        <f t="shared" si="75"/>
        <v>7795.0021789917537</v>
      </c>
      <c r="B200" s="172">
        <f t="shared" ref="B200:B231" si="107">AX79</f>
        <v>49433.990906713327</v>
      </c>
      <c r="C200" s="181">
        <f t="shared" ref="C200:C231" si="108">K79</f>
        <v>7795.0021789917537</v>
      </c>
      <c r="D200" s="168">
        <f t="shared" si="78"/>
        <v>4333.2887282396632</v>
      </c>
      <c r="E200" s="168">
        <f t="shared" si="79"/>
        <v>3963.6363636363635</v>
      </c>
      <c r="F200" s="168">
        <f t="shared" si="80"/>
        <v>4527.272727272727</v>
      </c>
      <c r="G200" s="168">
        <f t="shared" si="81"/>
        <v>3763.6363636363635</v>
      </c>
      <c r="H200" s="168">
        <f t="shared" si="82"/>
        <v>7381.8181818181811</v>
      </c>
      <c r="I200" s="168">
        <f t="shared" si="83"/>
        <v>6581.8181818181811</v>
      </c>
      <c r="J200" s="168">
        <f t="shared" si="84"/>
        <v>7418.181818181818</v>
      </c>
      <c r="K200" s="168">
        <f t="shared" si="85"/>
        <v>9054.545454545454</v>
      </c>
      <c r="L200" s="168">
        <f t="shared" si="86"/>
        <v>9872.7272727272721</v>
      </c>
      <c r="M200" s="168">
        <f t="shared" si="87"/>
        <v>10909.090909090908</v>
      </c>
      <c r="N200" s="168">
        <f t="array" ref="N200">MIN(IF(E200:M200&gt;D200,E200:M200))</f>
        <v>4527.272727272727</v>
      </c>
      <c r="O200" s="184">
        <f t="shared" si="76"/>
        <v>7795.0021789917537</v>
      </c>
      <c r="P200" s="168">
        <f t="shared" si="88"/>
        <v>4512.8959983636469</v>
      </c>
      <c r="Q200" s="168">
        <f t="shared" si="89"/>
        <v>2741.666666666667</v>
      </c>
      <c r="R200" s="168">
        <f t="shared" si="90"/>
        <v>3383.3333333333335</v>
      </c>
      <c r="S200" s="168">
        <f t="shared" si="91"/>
        <v>2408.3333333333335</v>
      </c>
      <c r="T200" s="168">
        <f t="shared" si="92"/>
        <v>5791.666666666667</v>
      </c>
      <c r="U200" s="168">
        <f t="shared" si="93"/>
        <v>4433.3333333333339</v>
      </c>
      <c r="V200" s="168">
        <f t="shared" si="94"/>
        <v>5308.3333333333339</v>
      </c>
      <c r="W200" s="168">
        <f t="shared" si="95"/>
        <v>7016.666666666667</v>
      </c>
      <c r="X200" s="168">
        <f t="shared" si="96"/>
        <v>6558.3333333333339</v>
      </c>
      <c r="Y200" s="168">
        <f t="shared" si="97"/>
        <v>7500</v>
      </c>
      <c r="Z200" s="190">
        <f t="array" ref="Z200">MIN(IF(Q200:Y200&gt;P200,Q200:Y200))</f>
        <v>5308.3333333333339</v>
      </c>
      <c r="AA200" s="184">
        <f t="shared" si="77"/>
        <v>7795.0021789917537</v>
      </c>
      <c r="AB200" s="168">
        <f t="shared" si="98"/>
        <v>5308.3333333333339</v>
      </c>
      <c r="AC200" s="187" t="str">
        <f t="shared" si="99"/>
        <v/>
      </c>
      <c r="AD200" s="187" t="str">
        <f t="shared" si="100"/>
        <v/>
      </c>
      <c r="AE200" s="187" t="str">
        <f t="shared" si="101"/>
        <v/>
      </c>
      <c r="AF200" s="187" t="str">
        <f t="shared" si="102"/>
        <v/>
      </c>
      <c r="AG200" s="187" t="str">
        <f t="shared" ref="AG200:AG215" si="109">IF(OR(I200=AB200,U200=AB200),$I$134,"")</f>
        <v/>
      </c>
      <c r="AH200" s="187" t="str">
        <f t="shared" si="103"/>
        <v>Casing 6</v>
      </c>
      <c r="AI200" s="187" t="str">
        <f t="shared" si="104"/>
        <v/>
      </c>
      <c r="AJ200" s="187" t="str">
        <f t="shared" si="105"/>
        <v/>
      </c>
      <c r="AK200" s="187" t="str">
        <f t="shared" si="106"/>
        <v/>
      </c>
      <c r="AL200" s="187" t="str">
        <f t="shared" ref="AL200:AL215" si="110">LOOKUP(2,1/(AC200:AK200&lt;&gt;""),AC200:AK200)</f>
        <v>Casing 6</v>
      </c>
      <c r="AM200" s="193">
        <f t="shared" ref="AM200:AM215" si="111">AreaSelect(AL200)</f>
        <v>6.899</v>
      </c>
      <c r="AN200" s="194">
        <f t="shared" ref="AN200:AN215" si="112">YmSelect(AL200)</f>
        <v>80000</v>
      </c>
      <c r="AO200" s="194">
        <f t="shared" ref="AO200:AO215" si="113">JointStrengthSelect(AL200)</f>
        <v>520000</v>
      </c>
      <c r="AP200" s="189">
        <f t="shared" si="39"/>
        <v>11.164787424133445</v>
      </c>
      <c r="AQ200" s="189">
        <f t="shared" si="40"/>
        <v>10.519077874600288</v>
      </c>
      <c r="BE200" s="12"/>
    </row>
    <row r="201" spans="1:57">
      <c r="A201" s="184">
        <f t="shared" si="75"/>
        <v>7907.869088638482</v>
      </c>
      <c r="B201" s="172">
        <f t="shared" si="107"/>
        <v>49371.371359360885</v>
      </c>
      <c r="C201" s="181">
        <f t="shared" si="108"/>
        <v>7907.869088638482</v>
      </c>
      <c r="D201" s="168">
        <f t="shared" si="78"/>
        <v>4294.6763644131506</v>
      </c>
      <c r="E201" s="168">
        <f t="shared" si="79"/>
        <v>3963.6363636363635</v>
      </c>
      <c r="F201" s="168">
        <f t="shared" si="80"/>
        <v>4527.272727272727</v>
      </c>
      <c r="G201" s="168">
        <f t="shared" si="81"/>
        <v>3763.6363636363635</v>
      </c>
      <c r="H201" s="168">
        <f t="shared" si="82"/>
        <v>7381.8181818181811</v>
      </c>
      <c r="I201" s="168">
        <f t="shared" si="83"/>
        <v>6581.8181818181811</v>
      </c>
      <c r="J201" s="168">
        <f t="shared" si="84"/>
        <v>7418.181818181818</v>
      </c>
      <c r="K201" s="168">
        <f t="shared" si="85"/>
        <v>9054.545454545454</v>
      </c>
      <c r="L201" s="168">
        <f t="shared" si="86"/>
        <v>9872.7272727272721</v>
      </c>
      <c r="M201" s="168">
        <f t="shared" si="87"/>
        <v>10909.090909090908</v>
      </c>
      <c r="N201" s="168">
        <f t="array" ref="N201">MIN(IF(E201:M201&gt;D201,E201:M201))</f>
        <v>4527.272727272727</v>
      </c>
      <c r="O201" s="184">
        <f t="shared" si="76"/>
        <v>7907.869088638482</v>
      </c>
      <c r="P201" s="168">
        <f t="shared" si="88"/>
        <v>4578.2399986854371</v>
      </c>
      <c r="Q201" s="168">
        <f t="shared" si="89"/>
        <v>2741.666666666667</v>
      </c>
      <c r="R201" s="168">
        <f t="shared" si="90"/>
        <v>3383.3333333333335</v>
      </c>
      <c r="S201" s="168">
        <f t="shared" si="91"/>
        <v>2408.3333333333335</v>
      </c>
      <c r="T201" s="168">
        <f t="shared" si="92"/>
        <v>5791.666666666667</v>
      </c>
      <c r="U201" s="168">
        <f t="shared" si="93"/>
        <v>4433.3333333333339</v>
      </c>
      <c r="V201" s="168">
        <f t="shared" si="94"/>
        <v>5308.3333333333339</v>
      </c>
      <c r="W201" s="168">
        <f t="shared" si="95"/>
        <v>7016.666666666667</v>
      </c>
      <c r="X201" s="168">
        <f t="shared" si="96"/>
        <v>6558.3333333333339</v>
      </c>
      <c r="Y201" s="168">
        <f t="shared" si="97"/>
        <v>7500</v>
      </c>
      <c r="Z201" s="190">
        <f t="array" ref="Z201">MIN(IF(Q201:Y201&gt;P201,Q201:Y201))</f>
        <v>5308.3333333333339</v>
      </c>
      <c r="AA201" s="184">
        <f t="shared" si="77"/>
        <v>7907.869088638482</v>
      </c>
      <c r="AB201" s="168">
        <f t="shared" si="98"/>
        <v>5308.3333333333339</v>
      </c>
      <c r="AC201" s="187" t="str">
        <f t="shared" si="99"/>
        <v/>
      </c>
      <c r="AD201" s="187" t="str">
        <f t="shared" si="100"/>
        <v/>
      </c>
      <c r="AE201" s="187" t="str">
        <f t="shared" si="101"/>
        <v/>
      </c>
      <c r="AF201" s="187" t="str">
        <f t="shared" si="102"/>
        <v/>
      </c>
      <c r="AG201" s="187" t="str">
        <f t="shared" si="109"/>
        <v/>
      </c>
      <c r="AH201" s="187" t="str">
        <f t="shared" si="103"/>
        <v>Casing 6</v>
      </c>
      <c r="AI201" s="187" t="str">
        <f t="shared" si="104"/>
        <v/>
      </c>
      <c r="AJ201" s="187" t="str">
        <f t="shared" si="105"/>
        <v/>
      </c>
      <c r="AK201" s="187" t="str">
        <f t="shared" si="106"/>
        <v/>
      </c>
      <c r="AL201" s="187" t="str">
        <f t="shared" si="110"/>
        <v>Casing 6</v>
      </c>
      <c r="AM201" s="193">
        <f t="shared" si="111"/>
        <v>6.899</v>
      </c>
      <c r="AN201" s="194">
        <f t="shared" si="112"/>
        <v>80000</v>
      </c>
      <c r="AO201" s="194">
        <f t="shared" si="113"/>
        <v>520000</v>
      </c>
      <c r="AP201" s="189">
        <f t="shared" ref="AP201:AP215" si="114">(AN201*AM201)/B201</f>
        <v>11.178948139453597</v>
      </c>
      <c r="AQ201" s="189">
        <f t="shared" ref="AQ201:AQ215" si="115">AO201/B201</f>
        <v>10.532419612472587</v>
      </c>
      <c r="BE201" s="12"/>
    </row>
    <row r="202" spans="1:57">
      <c r="A202" s="184">
        <f t="shared" si="75"/>
        <v>8020.7396439657396</v>
      </c>
      <c r="B202" s="172">
        <f t="shared" si="107"/>
        <v>49308.744894575153</v>
      </c>
      <c r="C202" s="181">
        <f t="shared" si="108"/>
        <v>8020.7396439657396</v>
      </c>
      <c r="D202" s="168">
        <f t="shared" si="78"/>
        <v>4256.0627533801417</v>
      </c>
      <c r="E202" s="168">
        <f t="shared" si="79"/>
        <v>3963.6363636363635</v>
      </c>
      <c r="F202" s="168">
        <f t="shared" si="80"/>
        <v>4527.272727272727</v>
      </c>
      <c r="G202" s="168">
        <f t="shared" si="81"/>
        <v>3763.6363636363635</v>
      </c>
      <c r="H202" s="168">
        <f t="shared" si="82"/>
        <v>7381.8181818181811</v>
      </c>
      <c r="I202" s="168">
        <f t="shared" si="83"/>
        <v>6581.8181818181811</v>
      </c>
      <c r="J202" s="168">
        <f t="shared" si="84"/>
        <v>7418.181818181818</v>
      </c>
      <c r="K202" s="168">
        <f t="shared" si="85"/>
        <v>9054.545454545454</v>
      </c>
      <c r="L202" s="168">
        <f t="shared" si="86"/>
        <v>9872.7272727272721</v>
      </c>
      <c r="M202" s="168">
        <f t="shared" si="87"/>
        <v>10909.090909090908</v>
      </c>
      <c r="N202" s="168">
        <f t="array" ref="N202">MIN(IF(E202:M202&gt;D202,E202:M202))</f>
        <v>4527.272727272727</v>
      </c>
      <c r="O202" s="184">
        <f t="shared" si="76"/>
        <v>8020.7396439657396</v>
      </c>
      <c r="P202" s="168">
        <f t="shared" si="88"/>
        <v>4643.5861096643757</v>
      </c>
      <c r="Q202" s="168">
        <f t="shared" si="89"/>
        <v>2741.666666666667</v>
      </c>
      <c r="R202" s="168">
        <f t="shared" si="90"/>
        <v>3383.3333333333335</v>
      </c>
      <c r="S202" s="168">
        <f t="shared" si="91"/>
        <v>2408.3333333333335</v>
      </c>
      <c r="T202" s="168">
        <f t="shared" si="92"/>
        <v>5791.666666666667</v>
      </c>
      <c r="U202" s="168">
        <f t="shared" si="93"/>
        <v>4433.3333333333339</v>
      </c>
      <c r="V202" s="168">
        <f t="shared" si="94"/>
        <v>5308.3333333333339</v>
      </c>
      <c r="W202" s="168">
        <f t="shared" si="95"/>
        <v>7016.666666666667</v>
      </c>
      <c r="X202" s="168">
        <f t="shared" si="96"/>
        <v>6558.3333333333339</v>
      </c>
      <c r="Y202" s="168">
        <f t="shared" si="97"/>
        <v>7500</v>
      </c>
      <c r="Z202" s="190">
        <f t="array" ref="Z202">MIN(IF(Q202:Y202&gt;P202,Q202:Y202))</f>
        <v>5308.3333333333339</v>
      </c>
      <c r="AA202" s="184">
        <f t="shared" si="77"/>
        <v>8020.7396439657396</v>
      </c>
      <c r="AB202" s="168">
        <f t="shared" si="98"/>
        <v>5308.3333333333339</v>
      </c>
      <c r="AC202" s="187" t="str">
        <f t="shared" si="99"/>
        <v/>
      </c>
      <c r="AD202" s="187" t="str">
        <f t="shared" si="100"/>
        <v/>
      </c>
      <c r="AE202" s="187" t="str">
        <f t="shared" si="101"/>
        <v/>
      </c>
      <c r="AF202" s="187" t="str">
        <f t="shared" si="102"/>
        <v/>
      </c>
      <c r="AG202" s="187" t="str">
        <f t="shared" si="109"/>
        <v/>
      </c>
      <c r="AH202" s="187" t="str">
        <f t="shared" si="103"/>
        <v>Casing 6</v>
      </c>
      <c r="AI202" s="187" t="str">
        <f t="shared" si="104"/>
        <v/>
      </c>
      <c r="AJ202" s="187" t="str">
        <f t="shared" si="105"/>
        <v/>
      </c>
      <c r="AK202" s="187" t="str">
        <f t="shared" si="106"/>
        <v/>
      </c>
      <c r="AL202" s="187" t="str">
        <f t="shared" si="110"/>
        <v>Casing 6</v>
      </c>
      <c r="AM202" s="193">
        <f t="shared" si="111"/>
        <v>6.899</v>
      </c>
      <c r="AN202" s="194">
        <f t="shared" si="112"/>
        <v>80000</v>
      </c>
      <c r="AO202" s="194">
        <f t="shared" si="113"/>
        <v>520000</v>
      </c>
      <c r="AP202" s="189">
        <f t="shared" si="114"/>
        <v>11.193146391781736</v>
      </c>
      <c r="AQ202" s="189">
        <f t="shared" si="115"/>
        <v>10.545796716419957</v>
      </c>
      <c r="BE202" s="12"/>
    </row>
    <row r="203" spans="1:57">
      <c r="A203" s="184">
        <f t="shared" si="75"/>
        <v>8133.6135645713975</v>
      </c>
      <c r="B203" s="172">
        <f t="shared" si="107"/>
        <v>49246.111623987752</v>
      </c>
      <c r="C203" s="181">
        <f t="shared" si="108"/>
        <v>8133.6135645713975</v>
      </c>
      <c r="D203" s="168">
        <f t="shared" si="78"/>
        <v>4217.4479910676791</v>
      </c>
      <c r="E203" s="168">
        <f t="shared" si="79"/>
        <v>3963.6363636363635</v>
      </c>
      <c r="F203" s="168">
        <f t="shared" si="80"/>
        <v>4527.272727272727</v>
      </c>
      <c r="G203" s="168">
        <f t="shared" si="81"/>
        <v>3763.6363636363635</v>
      </c>
      <c r="H203" s="168">
        <f t="shared" si="82"/>
        <v>7381.8181818181811</v>
      </c>
      <c r="I203" s="168">
        <f t="shared" si="83"/>
        <v>6581.8181818181811</v>
      </c>
      <c r="J203" s="168">
        <f t="shared" si="84"/>
        <v>7418.181818181818</v>
      </c>
      <c r="K203" s="168">
        <f t="shared" si="85"/>
        <v>9054.545454545454</v>
      </c>
      <c r="L203" s="168">
        <f t="shared" si="86"/>
        <v>9872.7272727272721</v>
      </c>
      <c r="M203" s="168">
        <f t="shared" si="87"/>
        <v>10909.090909090908</v>
      </c>
      <c r="N203" s="168">
        <f t="array" ref="N203">MIN(IF(E203:M203&gt;D203,E203:M203))</f>
        <v>4527.272727272727</v>
      </c>
      <c r="O203" s="184">
        <f t="shared" si="76"/>
        <v>8133.6135645713975</v>
      </c>
      <c r="P203" s="168">
        <f t="shared" si="88"/>
        <v>4708.934168962388</v>
      </c>
      <c r="Q203" s="168">
        <f t="shared" si="89"/>
        <v>2741.666666666667</v>
      </c>
      <c r="R203" s="168">
        <f t="shared" si="90"/>
        <v>3383.3333333333335</v>
      </c>
      <c r="S203" s="168">
        <f t="shared" si="91"/>
        <v>2408.3333333333335</v>
      </c>
      <c r="T203" s="168">
        <f t="shared" si="92"/>
        <v>5791.666666666667</v>
      </c>
      <c r="U203" s="168">
        <f t="shared" si="93"/>
        <v>4433.3333333333339</v>
      </c>
      <c r="V203" s="168">
        <f t="shared" si="94"/>
        <v>5308.3333333333339</v>
      </c>
      <c r="W203" s="168">
        <f t="shared" si="95"/>
        <v>7016.666666666667</v>
      </c>
      <c r="X203" s="168">
        <f t="shared" si="96"/>
        <v>6558.3333333333339</v>
      </c>
      <c r="Y203" s="168">
        <f t="shared" si="97"/>
        <v>7500</v>
      </c>
      <c r="Z203" s="190">
        <f t="array" ref="Z203">MIN(IF(Q203:Y203&gt;P203,Q203:Y203))</f>
        <v>5308.3333333333339</v>
      </c>
      <c r="AA203" s="184">
        <f t="shared" si="77"/>
        <v>8133.6135645713975</v>
      </c>
      <c r="AB203" s="168">
        <f t="shared" si="98"/>
        <v>5308.3333333333339</v>
      </c>
      <c r="AC203" s="187" t="str">
        <f t="shared" si="99"/>
        <v/>
      </c>
      <c r="AD203" s="187" t="str">
        <f t="shared" si="100"/>
        <v/>
      </c>
      <c r="AE203" s="187" t="str">
        <f t="shared" si="101"/>
        <v/>
      </c>
      <c r="AF203" s="187" t="str">
        <f t="shared" si="102"/>
        <v/>
      </c>
      <c r="AG203" s="187" t="str">
        <f t="shared" si="109"/>
        <v/>
      </c>
      <c r="AH203" s="187" t="str">
        <f t="shared" si="103"/>
        <v>Casing 6</v>
      </c>
      <c r="AI203" s="187" t="str">
        <f t="shared" si="104"/>
        <v/>
      </c>
      <c r="AJ203" s="187" t="str">
        <f t="shared" si="105"/>
        <v/>
      </c>
      <c r="AK203" s="187" t="str">
        <f t="shared" si="106"/>
        <v/>
      </c>
      <c r="AL203" s="187" t="str">
        <f t="shared" si="110"/>
        <v>Casing 6</v>
      </c>
      <c r="AM203" s="193">
        <f t="shared" si="111"/>
        <v>6.899</v>
      </c>
      <c r="AN203" s="194">
        <f t="shared" si="112"/>
        <v>80000</v>
      </c>
      <c r="AO203" s="194">
        <f t="shared" si="113"/>
        <v>520000</v>
      </c>
      <c r="AP203" s="189">
        <f t="shared" si="114"/>
        <v>11.207382304903847</v>
      </c>
      <c r="AQ203" s="189">
        <f t="shared" si="115"/>
        <v>10.559209303069286</v>
      </c>
      <c r="BE203" s="12"/>
    </row>
    <row r="204" spans="1:57">
      <c r="A204" s="184">
        <f t="shared" si="75"/>
        <v>8246.4905700449672</v>
      </c>
      <c r="B204" s="172">
        <f t="shared" si="107"/>
        <v>49183.471659231567</v>
      </c>
      <c r="C204" s="181">
        <f t="shared" si="108"/>
        <v>8246.4905700449672</v>
      </c>
      <c r="D204" s="168">
        <f t="shared" si="78"/>
        <v>4178.832173405669</v>
      </c>
      <c r="E204" s="168">
        <f t="shared" si="79"/>
        <v>3963.6363636363635</v>
      </c>
      <c r="F204" s="168">
        <f t="shared" si="80"/>
        <v>4527.272727272727</v>
      </c>
      <c r="G204" s="168">
        <f t="shared" si="81"/>
        <v>3763.6363636363635</v>
      </c>
      <c r="H204" s="168">
        <f t="shared" si="82"/>
        <v>7381.8181818181811</v>
      </c>
      <c r="I204" s="168">
        <f t="shared" si="83"/>
        <v>6581.8181818181811</v>
      </c>
      <c r="J204" s="168">
        <f t="shared" si="84"/>
        <v>7418.181818181818</v>
      </c>
      <c r="K204" s="168">
        <f t="shared" si="85"/>
        <v>9054.545454545454</v>
      </c>
      <c r="L204" s="168">
        <f t="shared" si="86"/>
        <v>9872.7272727272721</v>
      </c>
      <c r="M204" s="168">
        <f t="shared" si="87"/>
        <v>10909.090909090908</v>
      </c>
      <c r="N204" s="168">
        <f t="array" ref="N204">MIN(IF(E204:M204&gt;D204,E204:M204))</f>
        <v>4527.272727272727</v>
      </c>
      <c r="O204" s="184">
        <f t="shared" si="76"/>
        <v>8246.4905700449672</v>
      </c>
      <c r="P204" s="168">
        <f t="shared" si="88"/>
        <v>4774.2840142365603</v>
      </c>
      <c r="Q204" s="168">
        <f t="shared" si="89"/>
        <v>2741.666666666667</v>
      </c>
      <c r="R204" s="168">
        <f t="shared" si="90"/>
        <v>3383.3333333333335</v>
      </c>
      <c r="S204" s="168">
        <f t="shared" si="91"/>
        <v>2408.3333333333335</v>
      </c>
      <c r="T204" s="168">
        <f t="shared" si="92"/>
        <v>5791.666666666667</v>
      </c>
      <c r="U204" s="168">
        <f t="shared" si="93"/>
        <v>4433.3333333333339</v>
      </c>
      <c r="V204" s="168">
        <f t="shared" si="94"/>
        <v>5308.3333333333339</v>
      </c>
      <c r="W204" s="168">
        <f t="shared" si="95"/>
        <v>7016.666666666667</v>
      </c>
      <c r="X204" s="168">
        <f t="shared" si="96"/>
        <v>6558.3333333333339</v>
      </c>
      <c r="Y204" s="168">
        <f t="shared" si="97"/>
        <v>7500</v>
      </c>
      <c r="Z204" s="190">
        <f t="array" ref="Z204">MIN(IF(Q204:Y204&gt;P204,Q204:Y204))</f>
        <v>5308.3333333333339</v>
      </c>
      <c r="AA204" s="184">
        <f t="shared" si="77"/>
        <v>8246.4905700449672</v>
      </c>
      <c r="AB204" s="168">
        <f t="shared" si="98"/>
        <v>5308.3333333333339</v>
      </c>
      <c r="AC204" s="187" t="str">
        <f t="shared" si="99"/>
        <v/>
      </c>
      <c r="AD204" s="187" t="str">
        <f t="shared" si="100"/>
        <v/>
      </c>
      <c r="AE204" s="187" t="str">
        <f t="shared" si="101"/>
        <v/>
      </c>
      <c r="AF204" s="187" t="str">
        <f t="shared" si="102"/>
        <v/>
      </c>
      <c r="AG204" s="187" t="str">
        <f t="shared" si="109"/>
        <v/>
      </c>
      <c r="AH204" s="187" t="str">
        <f t="shared" si="103"/>
        <v>Casing 6</v>
      </c>
      <c r="AI204" s="187" t="str">
        <f t="shared" si="104"/>
        <v/>
      </c>
      <c r="AJ204" s="187" t="str">
        <f t="shared" si="105"/>
        <v/>
      </c>
      <c r="AK204" s="187" t="str">
        <f t="shared" si="106"/>
        <v/>
      </c>
      <c r="AL204" s="187" t="str">
        <f t="shared" si="110"/>
        <v>Casing 6</v>
      </c>
      <c r="AM204" s="193">
        <f t="shared" si="111"/>
        <v>6.899</v>
      </c>
      <c r="AN204" s="194">
        <f t="shared" si="112"/>
        <v>80000</v>
      </c>
      <c r="AO204" s="194">
        <f t="shared" si="113"/>
        <v>520000</v>
      </c>
      <c r="AP204" s="189">
        <f t="shared" si="114"/>
        <v>11.221656003138333</v>
      </c>
      <c r="AQ204" s="189">
        <f t="shared" si="115"/>
        <v>10.572657489549089</v>
      </c>
      <c r="BE204" s="12"/>
    </row>
    <row r="205" spans="1:57">
      <c r="A205" s="184">
        <f t="shared" si="75"/>
        <v>8359.3703799682953</v>
      </c>
      <c r="B205" s="172">
        <f t="shared" si="107"/>
        <v>49120.825111941507</v>
      </c>
      <c r="C205" s="181">
        <f t="shared" si="108"/>
        <v>8359.3703799682953</v>
      </c>
      <c r="D205" s="168">
        <f t="shared" si="78"/>
        <v>4140.2153963266355</v>
      </c>
      <c r="E205" s="168">
        <f t="shared" si="79"/>
        <v>3963.6363636363635</v>
      </c>
      <c r="F205" s="168">
        <f t="shared" si="80"/>
        <v>4527.272727272727</v>
      </c>
      <c r="G205" s="168">
        <f t="shared" si="81"/>
        <v>3763.6363636363635</v>
      </c>
      <c r="H205" s="168">
        <f t="shared" si="82"/>
        <v>7381.8181818181811</v>
      </c>
      <c r="I205" s="168">
        <f t="shared" si="83"/>
        <v>6581.8181818181811</v>
      </c>
      <c r="J205" s="168">
        <f t="shared" si="84"/>
        <v>7418.181818181818</v>
      </c>
      <c r="K205" s="168">
        <f t="shared" si="85"/>
        <v>9054.545454545454</v>
      </c>
      <c r="L205" s="168">
        <f t="shared" si="86"/>
        <v>9872.7272727272721</v>
      </c>
      <c r="M205" s="168">
        <f t="shared" si="87"/>
        <v>10909.090909090908</v>
      </c>
      <c r="N205" s="168">
        <f t="array" ref="N205">MIN(IF(E205:M205&gt;D205,E205:M205))</f>
        <v>4527.272727272727</v>
      </c>
      <c r="O205" s="184">
        <f t="shared" si="76"/>
        <v>8359.3703799682953</v>
      </c>
      <c r="P205" s="168">
        <f t="shared" si="88"/>
        <v>4839.6354831395392</v>
      </c>
      <c r="Q205" s="168">
        <f t="shared" si="89"/>
        <v>2741.666666666667</v>
      </c>
      <c r="R205" s="168">
        <f t="shared" si="90"/>
        <v>3383.3333333333335</v>
      </c>
      <c r="S205" s="168">
        <f t="shared" si="91"/>
        <v>2408.3333333333335</v>
      </c>
      <c r="T205" s="168">
        <f t="shared" si="92"/>
        <v>5791.666666666667</v>
      </c>
      <c r="U205" s="168">
        <f t="shared" si="93"/>
        <v>4433.3333333333339</v>
      </c>
      <c r="V205" s="168">
        <f t="shared" si="94"/>
        <v>5308.3333333333339</v>
      </c>
      <c r="W205" s="168">
        <f t="shared" si="95"/>
        <v>7016.666666666667</v>
      </c>
      <c r="X205" s="168">
        <f t="shared" si="96"/>
        <v>6558.3333333333339</v>
      </c>
      <c r="Y205" s="168">
        <f t="shared" si="97"/>
        <v>7500</v>
      </c>
      <c r="Z205" s="190">
        <f t="array" ref="Z205">MIN(IF(Q205:Y205&gt;P205,Q205:Y205))</f>
        <v>5308.3333333333339</v>
      </c>
      <c r="AA205" s="184">
        <f t="shared" si="77"/>
        <v>8359.3703799682953</v>
      </c>
      <c r="AB205" s="168">
        <f t="shared" si="98"/>
        <v>5308.3333333333339</v>
      </c>
      <c r="AC205" s="187" t="str">
        <f t="shared" si="99"/>
        <v/>
      </c>
      <c r="AD205" s="187" t="str">
        <f t="shared" si="100"/>
        <v/>
      </c>
      <c r="AE205" s="187" t="str">
        <f t="shared" si="101"/>
        <v/>
      </c>
      <c r="AF205" s="187" t="str">
        <f t="shared" si="102"/>
        <v/>
      </c>
      <c r="AG205" s="187" t="str">
        <f t="shared" si="109"/>
        <v/>
      </c>
      <c r="AH205" s="187" t="str">
        <f t="shared" si="103"/>
        <v>Casing 6</v>
      </c>
      <c r="AI205" s="187" t="str">
        <f t="shared" si="104"/>
        <v/>
      </c>
      <c r="AJ205" s="187" t="str">
        <f t="shared" si="105"/>
        <v/>
      </c>
      <c r="AK205" s="187" t="str">
        <f t="shared" si="106"/>
        <v/>
      </c>
      <c r="AL205" s="187" t="str">
        <f t="shared" si="110"/>
        <v>Casing 6</v>
      </c>
      <c r="AM205" s="193">
        <f t="shared" si="111"/>
        <v>6.899</v>
      </c>
      <c r="AN205" s="194">
        <f t="shared" si="112"/>
        <v>80000</v>
      </c>
      <c r="AO205" s="194">
        <f t="shared" si="113"/>
        <v>520000</v>
      </c>
      <c r="AP205" s="189">
        <f t="shared" si="114"/>
        <v>11.235967611338548</v>
      </c>
      <c r="AQ205" s="189">
        <f t="shared" si="115"/>
        <v>10.586141393491893</v>
      </c>
      <c r="BE205" s="12"/>
    </row>
    <row r="206" spans="1:57">
      <c r="A206" s="184">
        <f t="shared" si="75"/>
        <v>8472.2527139162648</v>
      </c>
      <c r="B206" s="172">
        <f t="shared" si="107"/>
        <v>49058.172093755275</v>
      </c>
      <c r="C206" s="181">
        <f t="shared" si="108"/>
        <v>8472.2527139162648</v>
      </c>
      <c r="D206" s="168">
        <f t="shared" si="78"/>
        <v>4101.5977557654887</v>
      </c>
      <c r="E206" s="168">
        <f t="shared" si="79"/>
        <v>3963.6363636363635</v>
      </c>
      <c r="F206" s="168">
        <f t="shared" si="80"/>
        <v>4527.272727272727</v>
      </c>
      <c r="G206" s="168">
        <f t="shared" si="81"/>
        <v>3763.6363636363635</v>
      </c>
      <c r="H206" s="168">
        <f t="shared" si="82"/>
        <v>7381.8181818181811</v>
      </c>
      <c r="I206" s="168">
        <f t="shared" si="83"/>
        <v>6581.8181818181811</v>
      </c>
      <c r="J206" s="168">
        <f t="shared" si="84"/>
        <v>7418.181818181818</v>
      </c>
      <c r="K206" s="168">
        <f t="shared" si="85"/>
        <v>9054.545454545454</v>
      </c>
      <c r="L206" s="168">
        <f t="shared" si="86"/>
        <v>9872.7272727272721</v>
      </c>
      <c r="M206" s="168">
        <f t="shared" si="87"/>
        <v>10909.090909090908</v>
      </c>
      <c r="N206" s="168">
        <f t="array" ref="N206">MIN(IF(E206:M206&gt;D206,E206:M206))</f>
        <v>4527.272727272727</v>
      </c>
      <c r="O206" s="184">
        <f t="shared" si="76"/>
        <v>8472.2527139162648</v>
      </c>
      <c r="P206" s="168">
        <f t="shared" si="88"/>
        <v>4904.988413319943</v>
      </c>
      <c r="Q206" s="168">
        <f t="shared" si="89"/>
        <v>2741.666666666667</v>
      </c>
      <c r="R206" s="168">
        <f t="shared" si="90"/>
        <v>3383.3333333333335</v>
      </c>
      <c r="S206" s="168">
        <f t="shared" si="91"/>
        <v>2408.3333333333335</v>
      </c>
      <c r="T206" s="168">
        <f t="shared" si="92"/>
        <v>5791.666666666667</v>
      </c>
      <c r="U206" s="168">
        <f t="shared" si="93"/>
        <v>4433.3333333333339</v>
      </c>
      <c r="V206" s="168">
        <f t="shared" si="94"/>
        <v>5308.3333333333339</v>
      </c>
      <c r="W206" s="168">
        <f t="shared" si="95"/>
        <v>7016.666666666667</v>
      </c>
      <c r="X206" s="168">
        <f t="shared" si="96"/>
        <v>6558.3333333333339</v>
      </c>
      <c r="Y206" s="168">
        <f t="shared" si="97"/>
        <v>7500</v>
      </c>
      <c r="Z206" s="190">
        <f t="array" ref="Z206">MIN(IF(Q206:Y206&gt;P206,Q206:Y206))</f>
        <v>5308.3333333333339</v>
      </c>
      <c r="AA206" s="184">
        <f t="shared" si="77"/>
        <v>8472.2527139162648</v>
      </c>
      <c r="AB206" s="168">
        <f t="shared" si="98"/>
        <v>5308.3333333333339</v>
      </c>
      <c r="AC206" s="187" t="str">
        <f t="shared" si="99"/>
        <v/>
      </c>
      <c r="AD206" s="187" t="str">
        <f t="shared" si="100"/>
        <v/>
      </c>
      <c r="AE206" s="187" t="str">
        <f t="shared" si="101"/>
        <v/>
      </c>
      <c r="AF206" s="187" t="str">
        <f t="shared" si="102"/>
        <v/>
      </c>
      <c r="AG206" s="187" t="str">
        <f t="shared" si="109"/>
        <v/>
      </c>
      <c r="AH206" s="187" t="str">
        <f t="shared" si="103"/>
        <v>Casing 6</v>
      </c>
      <c r="AI206" s="187" t="str">
        <f t="shared" si="104"/>
        <v/>
      </c>
      <c r="AJ206" s="187" t="str">
        <f t="shared" si="105"/>
        <v/>
      </c>
      <c r="AK206" s="187" t="str">
        <f t="shared" si="106"/>
        <v/>
      </c>
      <c r="AL206" s="187" t="str">
        <f t="shared" si="110"/>
        <v>Casing 6</v>
      </c>
      <c r="AM206" s="193">
        <f t="shared" si="111"/>
        <v>6.899</v>
      </c>
      <c r="AN206" s="194">
        <f t="shared" si="112"/>
        <v>80000</v>
      </c>
      <c r="AO206" s="194">
        <f t="shared" si="113"/>
        <v>520000</v>
      </c>
      <c r="AP206" s="189">
        <f t="shared" si="114"/>
        <v>11.250317254895339</v>
      </c>
      <c r="AQ206" s="189">
        <f t="shared" si="115"/>
        <v>10.59966113303663</v>
      </c>
      <c r="BE206" s="12"/>
    </row>
    <row r="207" spans="1:57">
      <c r="A207" s="184">
        <f t="shared" si="75"/>
        <v>8585.137291457484</v>
      </c>
      <c r="B207" s="172">
        <f t="shared" si="107"/>
        <v>48995.512716314268</v>
      </c>
      <c r="C207" s="181">
        <f t="shared" si="108"/>
        <v>8585.137291457484</v>
      </c>
      <c r="D207" s="168">
        <f t="shared" si="78"/>
        <v>4062.9793476592818</v>
      </c>
      <c r="E207" s="168">
        <f t="shared" si="79"/>
        <v>3963.6363636363635</v>
      </c>
      <c r="F207" s="168">
        <f t="shared" si="80"/>
        <v>4527.272727272727</v>
      </c>
      <c r="G207" s="168">
        <f t="shared" si="81"/>
        <v>3763.6363636363635</v>
      </c>
      <c r="H207" s="168">
        <f t="shared" si="82"/>
        <v>7381.8181818181811</v>
      </c>
      <c r="I207" s="168">
        <f t="shared" si="83"/>
        <v>6581.8181818181811</v>
      </c>
      <c r="J207" s="168">
        <f t="shared" si="84"/>
        <v>7418.181818181818</v>
      </c>
      <c r="K207" s="168">
        <f t="shared" si="85"/>
        <v>9054.545454545454</v>
      </c>
      <c r="L207" s="168">
        <f t="shared" si="86"/>
        <v>9872.7272727272721</v>
      </c>
      <c r="M207" s="168">
        <f t="shared" si="87"/>
        <v>10909.090909090908</v>
      </c>
      <c r="N207" s="168">
        <f t="array" ref="N207">MIN(IF(E207:M207&gt;D207,E207:M207))</f>
        <v>4527.272727272727</v>
      </c>
      <c r="O207" s="184">
        <f t="shared" si="76"/>
        <v>8585.137291457484</v>
      </c>
      <c r="P207" s="168">
        <f t="shared" si="88"/>
        <v>4970.3426424227537</v>
      </c>
      <c r="Q207" s="168">
        <f t="shared" si="89"/>
        <v>2741.666666666667</v>
      </c>
      <c r="R207" s="168">
        <f t="shared" si="90"/>
        <v>3383.3333333333335</v>
      </c>
      <c r="S207" s="168">
        <f t="shared" si="91"/>
        <v>2408.3333333333335</v>
      </c>
      <c r="T207" s="168">
        <f t="shared" si="92"/>
        <v>5791.666666666667</v>
      </c>
      <c r="U207" s="168">
        <f t="shared" si="93"/>
        <v>4433.3333333333339</v>
      </c>
      <c r="V207" s="168">
        <f t="shared" si="94"/>
        <v>5308.3333333333339</v>
      </c>
      <c r="W207" s="168">
        <f t="shared" si="95"/>
        <v>7016.666666666667</v>
      </c>
      <c r="X207" s="168">
        <f t="shared" si="96"/>
        <v>6558.3333333333339</v>
      </c>
      <c r="Y207" s="168">
        <f t="shared" si="97"/>
        <v>7500</v>
      </c>
      <c r="Z207" s="190">
        <f t="array" ref="Z207">MIN(IF(Q207:Y207&gt;P207,Q207:Y207))</f>
        <v>5308.3333333333339</v>
      </c>
      <c r="AA207" s="184">
        <f t="shared" si="77"/>
        <v>8585.137291457484</v>
      </c>
      <c r="AB207" s="168">
        <f t="shared" si="98"/>
        <v>5308.3333333333339</v>
      </c>
      <c r="AC207" s="187" t="str">
        <f t="shared" si="99"/>
        <v/>
      </c>
      <c r="AD207" s="187" t="str">
        <f t="shared" si="100"/>
        <v/>
      </c>
      <c r="AE207" s="187" t="str">
        <f t="shared" si="101"/>
        <v/>
      </c>
      <c r="AF207" s="187" t="str">
        <f t="shared" si="102"/>
        <v/>
      </c>
      <c r="AG207" s="187" t="str">
        <f t="shared" si="109"/>
        <v/>
      </c>
      <c r="AH207" s="187" t="str">
        <f t="shared" si="103"/>
        <v>Casing 6</v>
      </c>
      <c r="AI207" s="187" t="str">
        <f t="shared" si="104"/>
        <v/>
      </c>
      <c r="AJ207" s="187" t="str">
        <f t="shared" si="105"/>
        <v/>
      </c>
      <c r="AK207" s="187" t="str">
        <f t="shared" si="106"/>
        <v/>
      </c>
      <c r="AL207" s="187" t="str">
        <f t="shared" si="110"/>
        <v>Casing 6</v>
      </c>
      <c r="AM207" s="193">
        <f t="shared" si="111"/>
        <v>6.899</v>
      </c>
      <c r="AN207" s="194">
        <f t="shared" si="112"/>
        <v>80000</v>
      </c>
      <c r="AO207" s="194">
        <f t="shared" si="113"/>
        <v>520000</v>
      </c>
      <c r="AP207" s="189">
        <f t="shared" si="114"/>
        <v>11.264705059739574</v>
      </c>
      <c r="AQ207" s="189">
        <f t="shared" si="115"/>
        <v>10.613216826831025</v>
      </c>
      <c r="BE207" s="12"/>
    </row>
    <row r="208" spans="1:57">
      <c r="A208" s="184">
        <f t="shared" si="75"/>
        <v>8698.0238321549896</v>
      </c>
      <c r="B208" s="172">
        <f t="shared" si="107"/>
        <v>48932.847091264295</v>
      </c>
      <c r="C208" s="181">
        <f t="shared" si="108"/>
        <v>8698.0238321549896</v>
      </c>
      <c r="D208" s="168">
        <f t="shared" si="78"/>
        <v>4024.3602679469773</v>
      </c>
      <c r="E208" s="168">
        <f t="shared" si="79"/>
        <v>3963.6363636363635</v>
      </c>
      <c r="F208" s="168">
        <f t="shared" si="80"/>
        <v>4527.272727272727</v>
      </c>
      <c r="G208" s="168">
        <f t="shared" si="81"/>
        <v>3763.6363636363635</v>
      </c>
      <c r="H208" s="168">
        <f t="shared" si="82"/>
        <v>7381.8181818181811</v>
      </c>
      <c r="I208" s="168">
        <f t="shared" si="83"/>
        <v>6581.8181818181811</v>
      </c>
      <c r="J208" s="168">
        <f t="shared" si="84"/>
        <v>7418.181818181818</v>
      </c>
      <c r="K208" s="168">
        <f t="shared" si="85"/>
        <v>9054.545454545454</v>
      </c>
      <c r="L208" s="168">
        <f t="shared" si="86"/>
        <v>9872.7272727272721</v>
      </c>
      <c r="M208" s="168">
        <f t="shared" si="87"/>
        <v>10909.090909090908</v>
      </c>
      <c r="N208" s="168">
        <f t="array" ref="N208">MIN(IF(E208:M208&gt;D208,E208:M208))</f>
        <v>4527.272727272727</v>
      </c>
      <c r="O208" s="184">
        <f t="shared" si="76"/>
        <v>8698.0238321549896</v>
      </c>
      <c r="P208" s="168">
        <f t="shared" si="88"/>
        <v>5035.698008089731</v>
      </c>
      <c r="Q208" s="168">
        <f t="shared" si="89"/>
        <v>2741.666666666667</v>
      </c>
      <c r="R208" s="168">
        <f t="shared" si="90"/>
        <v>3383.3333333333335</v>
      </c>
      <c r="S208" s="168">
        <f t="shared" si="91"/>
        <v>2408.3333333333335</v>
      </c>
      <c r="T208" s="168">
        <f t="shared" si="92"/>
        <v>5791.666666666667</v>
      </c>
      <c r="U208" s="168">
        <f t="shared" si="93"/>
        <v>4433.3333333333339</v>
      </c>
      <c r="V208" s="168">
        <f t="shared" si="94"/>
        <v>5308.3333333333339</v>
      </c>
      <c r="W208" s="168">
        <f t="shared" si="95"/>
        <v>7016.666666666667</v>
      </c>
      <c r="X208" s="168">
        <f t="shared" si="96"/>
        <v>6558.3333333333339</v>
      </c>
      <c r="Y208" s="168">
        <f t="shared" si="97"/>
        <v>7500</v>
      </c>
      <c r="Z208" s="190">
        <f t="array" ref="Z208">MIN(IF(Q208:Y208&gt;P208,Q208:Y208))</f>
        <v>5308.3333333333339</v>
      </c>
      <c r="AA208" s="184">
        <f t="shared" si="77"/>
        <v>8698.0238321549896</v>
      </c>
      <c r="AB208" s="168">
        <f t="shared" si="98"/>
        <v>5308.3333333333339</v>
      </c>
      <c r="AC208" s="187" t="str">
        <f t="shared" si="99"/>
        <v/>
      </c>
      <c r="AD208" s="187" t="str">
        <f t="shared" si="100"/>
        <v/>
      </c>
      <c r="AE208" s="187" t="str">
        <f t="shared" si="101"/>
        <v/>
      </c>
      <c r="AF208" s="187" t="str">
        <f t="shared" si="102"/>
        <v/>
      </c>
      <c r="AG208" s="187" t="str">
        <f t="shared" si="109"/>
        <v/>
      </c>
      <c r="AH208" s="187" t="str">
        <f t="shared" si="103"/>
        <v>Casing 6</v>
      </c>
      <c r="AI208" s="187" t="str">
        <f t="shared" si="104"/>
        <v/>
      </c>
      <c r="AJ208" s="187" t="str">
        <f t="shared" si="105"/>
        <v/>
      </c>
      <c r="AK208" s="187" t="str">
        <f t="shared" si="106"/>
        <v/>
      </c>
      <c r="AL208" s="187" t="str">
        <f t="shared" si="110"/>
        <v>Casing 6</v>
      </c>
      <c r="AM208" s="193">
        <f t="shared" si="111"/>
        <v>6.899</v>
      </c>
      <c r="AN208" s="194">
        <f t="shared" si="112"/>
        <v>80000</v>
      </c>
      <c r="AO208" s="194">
        <f t="shared" si="113"/>
        <v>520000</v>
      </c>
      <c r="AP208" s="189">
        <f t="shared" si="114"/>
        <v>11.279131152344723</v>
      </c>
      <c r="AQ208" s="189">
        <f t="shared" si="115"/>
        <v>10.626808594034021</v>
      </c>
      <c r="BE208" s="12"/>
    </row>
    <row r="209" spans="1:57">
      <c r="A209" s="184">
        <f t="shared" si="75"/>
        <v>8810.9120555669415</v>
      </c>
      <c r="B209" s="172">
        <f t="shared" si="107"/>
        <v>48870.175330256519</v>
      </c>
      <c r="C209" s="181">
        <f t="shared" si="108"/>
        <v>8810.9120555669415</v>
      </c>
      <c r="D209" s="168">
        <f t="shared" si="78"/>
        <v>3985.7406125692041</v>
      </c>
      <c r="E209" s="168">
        <f t="shared" si="79"/>
        <v>3963.6363636363635</v>
      </c>
      <c r="F209" s="168">
        <f t="shared" si="80"/>
        <v>4527.272727272727</v>
      </c>
      <c r="G209" s="168">
        <f t="shared" si="81"/>
        <v>3763.6363636363635</v>
      </c>
      <c r="H209" s="168">
        <f t="shared" si="82"/>
        <v>7381.8181818181811</v>
      </c>
      <c r="I209" s="168">
        <f t="shared" si="83"/>
        <v>6581.8181818181811</v>
      </c>
      <c r="J209" s="168">
        <f t="shared" si="84"/>
        <v>7418.181818181818</v>
      </c>
      <c r="K209" s="168">
        <f t="shared" si="85"/>
        <v>9054.545454545454</v>
      </c>
      <c r="L209" s="168">
        <f t="shared" si="86"/>
        <v>9872.7272727272721</v>
      </c>
      <c r="M209" s="168">
        <f t="shared" si="87"/>
        <v>10909.090909090908</v>
      </c>
      <c r="N209" s="168">
        <f t="array" ref="N209">MIN(IF(E209:M209&gt;D209,E209:M209))</f>
        <v>4527.272727272727</v>
      </c>
      <c r="O209" s="184">
        <f t="shared" si="76"/>
        <v>8810.9120555669415</v>
      </c>
      <c r="P209" s="168">
        <f t="shared" si="88"/>
        <v>5101.0543479598082</v>
      </c>
      <c r="Q209" s="168">
        <f t="shared" si="89"/>
        <v>2741.666666666667</v>
      </c>
      <c r="R209" s="168">
        <f t="shared" si="90"/>
        <v>3383.3333333333335</v>
      </c>
      <c r="S209" s="168">
        <f t="shared" si="91"/>
        <v>2408.3333333333335</v>
      </c>
      <c r="T209" s="168">
        <f t="shared" si="92"/>
        <v>5791.666666666667</v>
      </c>
      <c r="U209" s="168">
        <f t="shared" si="93"/>
        <v>4433.3333333333339</v>
      </c>
      <c r="V209" s="168">
        <f t="shared" si="94"/>
        <v>5308.3333333333339</v>
      </c>
      <c r="W209" s="168">
        <f t="shared" si="95"/>
        <v>7016.666666666667</v>
      </c>
      <c r="X209" s="168">
        <f t="shared" si="96"/>
        <v>6558.3333333333339</v>
      </c>
      <c r="Y209" s="168">
        <f t="shared" si="97"/>
        <v>7500</v>
      </c>
      <c r="Z209" s="190">
        <f t="array" ref="Z209">MIN(IF(Q209:Y209&gt;P209,Q209:Y209))</f>
        <v>5308.3333333333339</v>
      </c>
      <c r="AA209" s="184">
        <f t="shared" si="77"/>
        <v>8810.9120555669415</v>
      </c>
      <c r="AB209" s="168">
        <f t="shared" si="98"/>
        <v>5308.3333333333339</v>
      </c>
      <c r="AC209" s="187" t="str">
        <f t="shared" si="99"/>
        <v/>
      </c>
      <c r="AD209" s="187" t="str">
        <f t="shared" si="100"/>
        <v/>
      </c>
      <c r="AE209" s="187" t="str">
        <f t="shared" si="101"/>
        <v/>
      </c>
      <c r="AF209" s="187" t="str">
        <f t="shared" si="102"/>
        <v/>
      </c>
      <c r="AG209" s="187" t="str">
        <f t="shared" si="109"/>
        <v/>
      </c>
      <c r="AH209" s="187" t="str">
        <f t="shared" si="103"/>
        <v>Casing 6</v>
      </c>
      <c r="AI209" s="187" t="str">
        <f t="shared" si="104"/>
        <v/>
      </c>
      <c r="AJ209" s="187" t="str">
        <f t="shared" si="105"/>
        <v/>
      </c>
      <c r="AK209" s="187" t="str">
        <f t="shared" si="106"/>
        <v/>
      </c>
      <c r="AL209" s="187" t="str">
        <f t="shared" si="110"/>
        <v>Casing 6</v>
      </c>
      <c r="AM209" s="193">
        <f t="shared" si="111"/>
        <v>6.899</v>
      </c>
      <c r="AN209" s="194">
        <f t="shared" si="112"/>
        <v>80000</v>
      </c>
      <c r="AO209" s="194">
        <f t="shared" si="113"/>
        <v>520000</v>
      </c>
      <c r="AP209" s="189">
        <f t="shared" si="114"/>
        <v>11.293595659729403</v>
      </c>
      <c r="AQ209" s="189">
        <f t="shared" si="115"/>
        <v>10.64043655431818</v>
      </c>
      <c r="BE209" s="12"/>
    </row>
    <row r="210" spans="1:57">
      <c r="A210" s="184">
        <f t="shared" si="75"/>
        <v>8923.8016812473179</v>
      </c>
      <c r="B210" s="172">
        <f t="shared" si="107"/>
        <v>48807.497544948223</v>
      </c>
      <c r="C210" s="181">
        <f t="shared" si="108"/>
        <v>8923.8016812473179</v>
      </c>
      <c r="D210" s="168">
        <f t="shared" si="78"/>
        <v>3947.1204774680227</v>
      </c>
      <c r="E210" s="168">
        <f t="shared" si="79"/>
        <v>3963.6363636363635</v>
      </c>
      <c r="F210" s="168">
        <f t="shared" si="80"/>
        <v>4527.272727272727</v>
      </c>
      <c r="G210" s="168">
        <f t="shared" si="81"/>
        <v>3763.6363636363635</v>
      </c>
      <c r="H210" s="168">
        <f t="shared" si="82"/>
        <v>7381.8181818181811</v>
      </c>
      <c r="I210" s="168">
        <f t="shared" si="83"/>
        <v>6581.8181818181811</v>
      </c>
      <c r="J210" s="168">
        <f t="shared" si="84"/>
        <v>7418.181818181818</v>
      </c>
      <c r="K210" s="168">
        <f t="shared" si="85"/>
        <v>9054.545454545454</v>
      </c>
      <c r="L210" s="168">
        <f t="shared" si="86"/>
        <v>9872.7272727272721</v>
      </c>
      <c r="M210" s="168">
        <f t="shared" si="87"/>
        <v>10909.090909090908</v>
      </c>
      <c r="N210" s="168">
        <f t="array" ref="N210">MIN(IF(E210:M210&gt;D210,E210:M210))</f>
        <v>3963.6363636363635</v>
      </c>
      <c r="O210" s="184">
        <f t="shared" si="76"/>
        <v>8923.8016812473179</v>
      </c>
      <c r="P210" s="168">
        <f t="shared" si="88"/>
        <v>5166.4114996694998</v>
      </c>
      <c r="Q210" s="168">
        <f t="shared" si="89"/>
        <v>2741.666666666667</v>
      </c>
      <c r="R210" s="168">
        <f t="shared" si="90"/>
        <v>3383.3333333333335</v>
      </c>
      <c r="S210" s="168">
        <f t="shared" si="91"/>
        <v>2408.3333333333335</v>
      </c>
      <c r="T210" s="168">
        <f t="shared" si="92"/>
        <v>5791.666666666667</v>
      </c>
      <c r="U210" s="168">
        <f t="shared" si="93"/>
        <v>4433.3333333333339</v>
      </c>
      <c r="V210" s="168">
        <f t="shared" si="94"/>
        <v>5308.3333333333339</v>
      </c>
      <c r="W210" s="168">
        <f t="shared" si="95"/>
        <v>7016.666666666667</v>
      </c>
      <c r="X210" s="168">
        <f t="shared" si="96"/>
        <v>6558.3333333333339</v>
      </c>
      <c r="Y210" s="168">
        <f t="shared" si="97"/>
        <v>7500</v>
      </c>
      <c r="Z210" s="190">
        <f t="array" ref="Z210">MIN(IF(Q210:Y210&gt;P210,Q210:Y210))</f>
        <v>5308.3333333333339</v>
      </c>
      <c r="AA210" s="184">
        <f t="shared" si="77"/>
        <v>8923.8016812473179</v>
      </c>
      <c r="AB210" s="168">
        <f t="shared" si="98"/>
        <v>5308.3333333333339</v>
      </c>
      <c r="AC210" s="187" t="str">
        <f t="shared" si="99"/>
        <v/>
      </c>
      <c r="AD210" s="187" t="str">
        <f t="shared" si="100"/>
        <v/>
      </c>
      <c r="AE210" s="187" t="str">
        <f t="shared" si="101"/>
        <v/>
      </c>
      <c r="AF210" s="187" t="str">
        <f t="shared" si="102"/>
        <v/>
      </c>
      <c r="AG210" s="187" t="str">
        <f t="shared" si="109"/>
        <v/>
      </c>
      <c r="AH210" s="187" t="str">
        <f t="shared" si="103"/>
        <v>Casing 6</v>
      </c>
      <c r="AI210" s="187" t="str">
        <f t="shared" si="104"/>
        <v/>
      </c>
      <c r="AJ210" s="187" t="str">
        <f t="shared" si="105"/>
        <v/>
      </c>
      <c r="AK210" s="187" t="str">
        <f t="shared" si="106"/>
        <v/>
      </c>
      <c r="AL210" s="187" t="str">
        <f t="shared" si="110"/>
        <v>Casing 6</v>
      </c>
      <c r="AM210" s="193">
        <f t="shared" si="111"/>
        <v>6.899</v>
      </c>
      <c r="AN210" s="194">
        <f t="shared" si="112"/>
        <v>80000</v>
      </c>
      <c r="AO210" s="194">
        <f t="shared" si="113"/>
        <v>520000</v>
      </c>
      <c r="AP210" s="189">
        <f t="shared" si="114"/>
        <v>11.308098709459976</v>
      </c>
      <c r="AQ210" s="189">
        <f t="shared" si="115"/>
        <v>10.654100827872133</v>
      </c>
      <c r="BE210" s="12"/>
    </row>
    <row r="211" spans="1:57">
      <c r="A211" s="184">
        <f t="shared" si="75"/>
        <v>9036.6924287466136</v>
      </c>
      <c r="B211" s="172">
        <f t="shared" si="107"/>
        <v>48744.813847003752</v>
      </c>
      <c r="C211" s="181">
        <f t="shared" si="108"/>
        <v>9036.6924287466136</v>
      </c>
      <c r="D211" s="168">
        <f t="shared" si="78"/>
        <v>3908.4999585866849</v>
      </c>
      <c r="E211" s="168">
        <f t="shared" si="79"/>
        <v>3963.6363636363635</v>
      </c>
      <c r="F211" s="168">
        <f t="shared" si="80"/>
        <v>4527.272727272727</v>
      </c>
      <c r="G211" s="168">
        <f t="shared" si="81"/>
        <v>3763.6363636363635</v>
      </c>
      <c r="H211" s="168">
        <f t="shared" si="82"/>
        <v>7381.8181818181811</v>
      </c>
      <c r="I211" s="168">
        <f t="shared" si="83"/>
        <v>6581.8181818181811</v>
      </c>
      <c r="J211" s="168">
        <f t="shared" si="84"/>
        <v>7418.181818181818</v>
      </c>
      <c r="K211" s="168">
        <f t="shared" si="85"/>
        <v>9054.545454545454</v>
      </c>
      <c r="L211" s="168">
        <f t="shared" si="86"/>
        <v>9872.7272727272721</v>
      </c>
      <c r="M211" s="168">
        <f t="shared" si="87"/>
        <v>10909.090909090908</v>
      </c>
      <c r="N211" s="168">
        <f t="array" ref="N211">MIN(IF(E211:M211&gt;D211,E211:M211))</f>
        <v>3963.6363636363635</v>
      </c>
      <c r="O211" s="184">
        <f t="shared" si="76"/>
        <v>9036.6924287466136</v>
      </c>
      <c r="P211" s="168">
        <f t="shared" si="88"/>
        <v>5231.7693008533024</v>
      </c>
      <c r="Q211" s="168">
        <f t="shared" si="89"/>
        <v>2741.666666666667</v>
      </c>
      <c r="R211" s="168">
        <f t="shared" si="90"/>
        <v>3383.3333333333335</v>
      </c>
      <c r="S211" s="168">
        <f t="shared" si="91"/>
        <v>2408.3333333333335</v>
      </c>
      <c r="T211" s="168">
        <f t="shared" si="92"/>
        <v>5791.666666666667</v>
      </c>
      <c r="U211" s="168">
        <f t="shared" si="93"/>
        <v>4433.3333333333339</v>
      </c>
      <c r="V211" s="168">
        <f t="shared" si="94"/>
        <v>5308.3333333333339</v>
      </c>
      <c r="W211" s="168">
        <f t="shared" si="95"/>
        <v>7016.666666666667</v>
      </c>
      <c r="X211" s="168">
        <f t="shared" si="96"/>
        <v>6558.3333333333339</v>
      </c>
      <c r="Y211" s="168">
        <f t="shared" si="97"/>
        <v>7500</v>
      </c>
      <c r="Z211" s="190">
        <f t="array" ref="Z211">MIN(IF(Q211:Y211&gt;P211,Q211:Y211))</f>
        <v>5308.3333333333339</v>
      </c>
      <c r="AA211" s="184">
        <f t="shared" si="77"/>
        <v>9036.6924287466136</v>
      </c>
      <c r="AB211" s="168">
        <f t="shared" si="98"/>
        <v>5308.3333333333339</v>
      </c>
      <c r="AC211" s="187" t="str">
        <f t="shared" si="99"/>
        <v/>
      </c>
      <c r="AD211" s="187" t="str">
        <f t="shared" si="100"/>
        <v/>
      </c>
      <c r="AE211" s="187" t="str">
        <f t="shared" si="101"/>
        <v/>
      </c>
      <c r="AF211" s="187" t="str">
        <f t="shared" si="102"/>
        <v/>
      </c>
      <c r="AG211" s="187" t="str">
        <f t="shared" si="109"/>
        <v/>
      </c>
      <c r="AH211" s="187" t="str">
        <f t="shared" si="103"/>
        <v>Casing 6</v>
      </c>
      <c r="AI211" s="187" t="str">
        <f t="shared" si="104"/>
        <v/>
      </c>
      <c r="AJ211" s="187" t="str">
        <f t="shared" si="105"/>
        <v/>
      </c>
      <c r="AK211" s="187" t="str">
        <f t="shared" si="106"/>
        <v/>
      </c>
      <c r="AL211" s="187" t="str">
        <f t="shared" si="110"/>
        <v>Casing 6</v>
      </c>
      <c r="AM211" s="193">
        <f t="shared" si="111"/>
        <v>6.899</v>
      </c>
      <c r="AN211" s="194">
        <f t="shared" si="112"/>
        <v>80000</v>
      </c>
      <c r="AO211" s="194">
        <f t="shared" si="113"/>
        <v>520000</v>
      </c>
      <c r="AP211" s="189">
        <f t="shared" si="114"/>
        <v>11.322640429653122</v>
      </c>
      <c r="AQ211" s="189">
        <f t="shared" si="115"/>
        <v>10.667801535402999</v>
      </c>
      <c r="BE211" s="12"/>
    </row>
    <row r="212" spans="1:57">
      <c r="A212" s="184">
        <f t="shared" si="75"/>
        <v>9149.5840176125384</v>
      </c>
      <c r="B212" s="172">
        <f t="shared" si="107"/>
        <v>48682.124348095444</v>
      </c>
      <c r="C212" s="181">
        <f t="shared" si="108"/>
        <v>9149.5840176125384</v>
      </c>
      <c r="D212" s="168">
        <f t="shared" si="78"/>
        <v>3869.8791518693947</v>
      </c>
      <c r="E212" s="168">
        <f t="shared" si="79"/>
        <v>3963.6363636363635</v>
      </c>
      <c r="F212" s="168">
        <f t="shared" si="80"/>
        <v>4527.272727272727</v>
      </c>
      <c r="G212" s="168">
        <f t="shared" si="81"/>
        <v>3763.6363636363635</v>
      </c>
      <c r="H212" s="168">
        <f t="shared" si="82"/>
        <v>7381.8181818181811</v>
      </c>
      <c r="I212" s="168">
        <f t="shared" si="83"/>
        <v>6581.8181818181811</v>
      </c>
      <c r="J212" s="168">
        <f t="shared" si="84"/>
        <v>7418.181818181818</v>
      </c>
      <c r="K212" s="168">
        <f t="shared" si="85"/>
        <v>9054.545454545454</v>
      </c>
      <c r="L212" s="168">
        <f t="shared" si="86"/>
        <v>9872.7272727272721</v>
      </c>
      <c r="M212" s="168">
        <f t="shared" si="87"/>
        <v>10909.090909090908</v>
      </c>
      <c r="N212" s="168">
        <f t="array" ref="N212">MIN(IF(E212:M212&gt;D212,E212:M212))</f>
        <v>3963.6363636363635</v>
      </c>
      <c r="O212" s="184">
        <f t="shared" si="76"/>
        <v>9149.5840176125384</v>
      </c>
      <c r="P212" s="168">
        <f t="shared" si="88"/>
        <v>5297.127589144101</v>
      </c>
      <c r="Q212" s="168">
        <f t="shared" si="89"/>
        <v>2741.666666666667</v>
      </c>
      <c r="R212" s="168">
        <f t="shared" si="90"/>
        <v>3383.3333333333335</v>
      </c>
      <c r="S212" s="168">
        <f t="shared" si="91"/>
        <v>2408.3333333333335</v>
      </c>
      <c r="T212" s="168">
        <f t="shared" si="92"/>
        <v>5791.666666666667</v>
      </c>
      <c r="U212" s="168">
        <f t="shared" si="93"/>
        <v>4433.3333333333339</v>
      </c>
      <c r="V212" s="168">
        <f t="shared" si="94"/>
        <v>5308.3333333333339</v>
      </c>
      <c r="W212" s="168">
        <f t="shared" si="95"/>
        <v>7016.666666666667</v>
      </c>
      <c r="X212" s="168">
        <f t="shared" si="96"/>
        <v>6558.3333333333339</v>
      </c>
      <c r="Y212" s="168">
        <f t="shared" si="97"/>
        <v>7500</v>
      </c>
      <c r="Z212" s="190">
        <f t="array" ref="Z212">MIN(IF(Q212:Y212&gt;P212,Q212:Y212))</f>
        <v>5308.3333333333339</v>
      </c>
      <c r="AA212" s="184">
        <f t="shared" si="77"/>
        <v>9149.5840176125384</v>
      </c>
      <c r="AB212" s="168">
        <f t="shared" si="98"/>
        <v>5308.3333333333339</v>
      </c>
      <c r="AC212" s="187" t="str">
        <f t="shared" si="99"/>
        <v/>
      </c>
      <c r="AD212" s="187" t="str">
        <f t="shared" si="100"/>
        <v/>
      </c>
      <c r="AE212" s="187" t="str">
        <f t="shared" si="101"/>
        <v/>
      </c>
      <c r="AF212" s="187" t="str">
        <f t="shared" si="102"/>
        <v/>
      </c>
      <c r="AG212" s="187" t="str">
        <f t="shared" si="109"/>
        <v/>
      </c>
      <c r="AH212" s="187" t="str">
        <f t="shared" si="103"/>
        <v>Casing 6</v>
      </c>
      <c r="AI212" s="187" t="str">
        <f t="shared" si="104"/>
        <v/>
      </c>
      <c r="AJ212" s="187" t="str">
        <f t="shared" si="105"/>
        <v/>
      </c>
      <c r="AK212" s="187" t="str">
        <f t="shared" si="106"/>
        <v/>
      </c>
      <c r="AL212" s="187" t="str">
        <f t="shared" si="110"/>
        <v>Casing 6</v>
      </c>
      <c r="AM212" s="193">
        <f t="shared" si="111"/>
        <v>6.899</v>
      </c>
      <c r="AN212" s="194">
        <f t="shared" si="112"/>
        <v>80000</v>
      </c>
      <c r="AO212" s="194">
        <f t="shared" si="113"/>
        <v>520000</v>
      </c>
      <c r="AP212" s="189">
        <f t="shared" si="114"/>
        <v>11.337220948978418</v>
      </c>
      <c r="AQ212" s="189">
        <f t="shared" si="115"/>
        <v>10.681538798138821</v>
      </c>
      <c r="BE212" s="12"/>
    </row>
    <row r="213" spans="1:57">
      <c r="A213" s="184">
        <f t="shared" si="75"/>
        <v>9262.4761673907105</v>
      </c>
      <c r="B213" s="172">
        <f t="shared" si="107"/>
        <v>48619.429159904539</v>
      </c>
      <c r="C213" s="181">
        <f t="shared" si="108"/>
        <v>9262.4761673907105</v>
      </c>
      <c r="D213" s="168">
        <f t="shared" si="78"/>
        <v>3831.2581532610729</v>
      </c>
      <c r="E213" s="168">
        <f t="shared" si="79"/>
        <v>3963.6363636363635</v>
      </c>
      <c r="F213" s="168">
        <f t="shared" si="80"/>
        <v>4527.272727272727</v>
      </c>
      <c r="G213" s="168">
        <f t="shared" si="81"/>
        <v>3763.6363636363635</v>
      </c>
      <c r="H213" s="168">
        <f t="shared" si="82"/>
        <v>7381.8181818181811</v>
      </c>
      <c r="I213" s="168">
        <f t="shared" si="83"/>
        <v>6581.8181818181811</v>
      </c>
      <c r="J213" s="168">
        <f t="shared" si="84"/>
        <v>7418.181818181818</v>
      </c>
      <c r="K213" s="168">
        <f t="shared" si="85"/>
        <v>9054.545454545454</v>
      </c>
      <c r="L213" s="168">
        <f t="shared" si="86"/>
        <v>9872.7272727272721</v>
      </c>
      <c r="M213" s="168">
        <f t="shared" si="87"/>
        <v>10909.090909090908</v>
      </c>
      <c r="N213" s="168">
        <f t="array" ref="N213">MIN(IF(E213:M213&gt;D213,E213:M213))</f>
        <v>3963.6363636363635</v>
      </c>
      <c r="O213" s="184">
        <f t="shared" si="76"/>
        <v>9262.4761673907105</v>
      </c>
      <c r="P213" s="168">
        <f t="shared" si="88"/>
        <v>5362.4862021735698</v>
      </c>
      <c r="Q213" s="168">
        <f t="shared" si="89"/>
        <v>2741.666666666667</v>
      </c>
      <c r="R213" s="168">
        <f t="shared" si="90"/>
        <v>3383.3333333333335</v>
      </c>
      <c r="S213" s="168">
        <f t="shared" si="91"/>
        <v>2408.3333333333335</v>
      </c>
      <c r="T213" s="168">
        <f t="shared" si="92"/>
        <v>5791.666666666667</v>
      </c>
      <c r="U213" s="168">
        <f t="shared" si="93"/>
        <v>4433.3333333333339</v>
      </c>
      <c r="V213" s="168">
        <f t="shared" si="94"/>
        <v>5308.3333333333339</v>
      </c>
      <c r="W213" s="168">
        <f t="shared" si="95"/>
        <v>7016.666666666667</v>
      </c>
      <c r="X213" s="168">
        <f t="shared" si="96"/>
        <v>6558.3333333333339</v>
      </c>
      <c r="Y213" s="168">
        <f t="shared" si="97"/>
        <v>7500</v>
      </c>
      <c r="Z213" s="190">
        <f t="array" ref="Z213">MIN(IF(Q213:Y213&gt;P213,Q213:Y213))</f>
        <v>5791.666666666667</v>
      </c>
      <c r="AA213" s="184">
        <f t="shared" si="77"/>
        <v>9262.4761673907105</v>
      </c>
      <c r="AB213" s="168">
        <f t="shared" si="98"/>
        <v>5791.666666666667</v>
      </c>
      <c r="AC213" s="187" t="str">
        <f t="shared" si="99"/>
        <v/>
      </c>
      <c r="AD213" s="187" t="str">
        <f t="shared" si="100"/>
        <v/>
      </c>
      <c r="AE213" s="187" t="str">
        <f t="shared" si="101"/>
        <v/>
      </c>
      <c r="AF213" s="187" t="str">
        <f t="shared" si="102"/>
        <v>Casing 4</v>
      </c>
      <c r="AG213" s="187" t="str">
        <f t="shared" si="109"/>
        <v/>
      </c>
      <c r="AH213" s="187" t="str">
        <f t="shared" si="103"/>
        <v/>
      </c>
      <c r="AI213" s="187" t="str">
        <f t="shared" si="104"/>
        <v/>
      </c>
      <c r="AJ213" s="187" t="str">
        <f t="shared" si="105"/>
        <v/>
      </c>
      <c r="AK213" s="187" t="str">
        <f t="shared" si="106"/>
        <v/>
      </c>
      <c r="AL213" s="187" t="str">
        <f t="shared" si="110"/>
        <v>Casing 4</v>
      </c>
      <c r="AM213" s="193">
        <f t="shared" si="111"/>
        <v>12.763</v>
      </c>
      <c r="AN213" s="194">
        <f t="shared" si="112"/>
        <v>80000</v>
      </c>
      <c r="AO213" s="194">
        <f t="shared" si="113"/>
        <v>1066000</v>
      </c>
      <c r="AP213" s="189">
        <f t="shared" si="114"/>
        <v>21.000657918913433</v>
      </c>
      <c r="AQ213" s="189">
        <f t="shared" si="115"/>
        <v>21.925391112553594</v>
      </c>
      <c r="BE213" s="12"/>
    </row>
    <row r="214" spans="1:57">
      <c r="A214" s="184">
        <f t="shared" si="75"/>
        <v>9375.3685976253546</v>
      </c>
      <c r="B214" s="172">
        <f t="shared" si="107"/>
        <v>48556.72839412227</v>
      </c>
      <c r="C214" s="181">
        <f t="shared" si="108"/>
        <v>9375.3685976253546</v>
      </c>
      <c r="D214" s="168">
        <f t="shared" si="78"/>
        <v>3792.6370587071156</v>
      </c>
      <c r="E214" s="168">
        <f t="shared" si="79"/>
        <v>3963.6363636363635</v>
      </c>
      <c r="F214" s="168">
        <f t="shared" si="80"/>
        <v>4527.272727272727</v>
      </c>
      <c r="G214" s="168">
        <f t="shared" si="81"/>
        <v>3763.6363636363635</v>
      </c>
      <c r="H214" s="168">
        <f t="shared" si="82"/>
        <v>7381.8181818181811</v>
      </c>
      <c r="I214" s="168">
        <f t="shared" si="83"/>
        <v>6581.8181818181811</v>
      </c>
      <c r="J214" s="168">
        <f t="shared" si="84"/>
        <v>7418.181818181818</v>
      </c>
      <c r="K214" s="168">
        <f t="shared" si="85"/>
        <v>9054.545454545454</v>
      </c>
      <c r="L214" s="168">
        <f t="shared" si="86"/>
        <v>9872.7272727272721</v>
      </c>
      <c r="M214" s="168">
        <f t="shared" si="87"/>
        <v>10909.090909090908</v>
      </c>
      <c r="N214" s="168">
        <f t="array" ref="N214">MIN(IF(E214:M214&gt;D214,E214:M214))</f>
        <v>3963.6363636363635</v>
      </c>
      <c r="O214" s="184">
        <f t="shared" si="76"/>
        <v>9375.3685976253546</v>
      </c>
      <c r="P214" s="168">
        <f t="shared" si="88"/>
        <v>5427.844977572574</v>
      </c>
      <c r="Q214" s="168">
        <f t="shared" si="89"/>
        <v>2741.666666666667</v>
      </c>
      <c r="R214" s="168">
        <f t="shared" si="90"/>
        <v>3383.3333333333335</v>
      </c>
      <c r="S214" s="168">
        <f t="shared" si="91"/>
        <v>2408.3333333333335</v>
      </c>
      <c r="T214" s="168">
        <f t="shared" si="92"/>
        <v>5791.666666666667</v>
      </c>
      <c r="U214" s="168">
        <f t="shared" si="93"/>
        <v>4433.3333333333339</v>
      </c>
      <c r="V214" s="168">
        <f t="shared" si="94"/>
        <v>5308.3333333333339</v>
      </c>
      <c r="W214" s="168">
        <f t="shared" si="95"/>
        <v>7016.666666666667</v>
      </c>
      <c r="X214" s="168">
        <f t="shared" si="96"/>
        <v>6558.3333333333339</v>
      </c>
      <c r="Y214" s="168">
        <f t="shared" si="97"/>
        <v>7500</v>
      </c>
      <c r="Z214" s="190">
        <f t="array" ref="Z214">MIN(IF(Q214:Y214&gt;P214,Q214:Y214))</f>
        <v>5791.666666666667</v>
      </c>
      <c r="AA214" s="184">
        <f t="shared" si="77"/>
        <v>9375.3685976253546</v>
      </c>
      <c r="AB214" s="168">
        <f t="shared" si="98"/>
        <v>5791.666666666667</v>
      </c>
      <c r="AC214" s="187" t="str">
        <f t="shared" si="99"/>
        <v/>
      </c>
      <c r="AD214" s="187" t="str">
        <f t="shared" si="100"/>
        <v/>
      </c>
      <c r="AE214" s="187" t="str">
        <f t="shared" si="101"/>
        <v/>
      </c>
      <c r="AF214" s="187" t="str">
        <f t="shared" si="102"/>
        <v>Casing 4</v>
      </c>
      <c r="AG214" s="187" t="str">
        <f t="shared" si="109"/>
        <v/>
      </c>
      <c r="AH214" s="187" t="str">
        <f t="shared" si="103"/>
        <v/>
      </c>
      <c r="AI214" s="187" t="str">
        <f t="shared" si="104"/>
        <v/>
      </c>
      <c r="AJ214" s="187" t="str">
        <f t="shared" si="105"/>
        <v/>
      </c>
      <c r="AK214" s="187" t="str">
        <f t="shared" si="106"/>
        <v/>
      </c>
      <c r="AL214" s="187" t="str">
        <f t="shared" si="110"/>
        <v>Casing 4</v>
      </c>
      <c r="AM214" s="193">
        <f t="shared" si="111"/>
        <v>12.763</v>
      </c>
      <c r="AN214" s="194">
        <f t="shared" si="112"/>
        <v>80000</v>
      </c>
      <c r="AO214" s="194">
        <f t="shared" si="113"/>
        <v>1066000</v>
      </c>
      <c r="AP214" s="189">
        <f t="shared" si="114"/>
        <v>21.027775835976534</v>
      </c>
      <c r="AQ214" s="189">
        <f t="shared" si="115"/>
        <v>21.95370312735151</v>
      </c>
      <c r="BE214" s="12"/>
    </row>
    <row r="215" spans="1:57">
      <c r="A215" s="184">
        <f t="shared" si="75"/>
        <v>9488.2610746027676</v>
      </c>
      <c r="B215" s="172">
        <f t="shared" si="107"/>
        <v>45000</v>
      </c>
      <c r="C215" s="181">
        <f t="shared" si="108"/>
        <v>9488.2610746027676</v>
      </c>
      <c r="D215" s="168">
        <f t="shared" si="78"/>
        <v>3754.0159481622113</v>
      </c>
      <c r="E215" s="168">
        <f t="shared" si="79"/>
        <v>3963.6363636363635</v>
      </c>
      <c r="F215" s="168">
        <f t="shared" si="80"/>
        <v>4527.272727272727</v>
      </c>
      <c r="G215" s="168">
        <f t="shared" si="81"/>
        <v>3763.6363636363635</v>
      </c>
      <c r="H215" s="168">
        <f t="shared" si="82"/>
        <v>7381.8181818181811</v>
      </c>
      <c r="I215" s="168">
        <f t="shared" si="83"/>
        <v>6581.8181818181811</v>
      </c>
      <c r="J215" s="168">
        <f t="shared" si="84"/>
        <v>7418.181818181818</v>
      </c>
      <c r="K215" s="168">
        <f t="shared" si="85"/>
        <v>9054.545454545454</v>
      </c>
      <c r="L215" s="168">
        <f t="shared" si="86"/>
        <v>9872.7272727272721</v>
      </c>
      <c r="M215" s="168">
        <f t="shared" si="87"/>
        <v>10909.090909090908</v>
      </c>
      <c r="N215" s="168">
        <f t="array" ref="N215">MIN(IF(E215:M215&gt;D215,E215:M215))</f>
        <v>3763.6363636363635</v>
      </c>
      <c r="O215" s="184">
        <f t="shared" si="76"/>
        <v>9488.2610746027676</v>
      </c>
      <c r="P215" s="168">
        <f t="shared" si="88"/>
        <v>5493.2037800331818</v>
      </c>
      <c r="Q215" s="168">
        <f t="shared" si="89"/>
        <v>2741.666666666667</v>
      </c>
      <c r="R215" s="168">
        <f t="shared" si="90"/>
        <v>3383.3333333333335</v>
      </c>
      <c r="S215" s="168">
        <f t="shared" si="91"/>
        <v>2408.3333333333335</v>
      </c>
      <c r="T215" s="168">
        <f t="shared" si="92"/>
        <v>5791.666666666667</v>
      </c>
      <c r="U215" s="168">
        <f t="shared" si="93"/>
        <v>4433.3333333333339</v>
      </c>
      <c r="V215" s="168">
        <f t="shared" si="94"/>
        <v>5308.3333333333339</v>
      </c>
      <c r="W215" s="168">
        <f t="shared" si="95"/>
        <v>7016.666666666667</v>
      </c>
      <c r="X215" s="168">
        <f t="shared" si="96"/>
        <v>6558.3333333333339</v>
      </c>
      <c r="Y215" s="168">
        <f t="shared" si="97"/>
        <v>7500</v>
      </c>
      <c r="Z215" s="190">
        <f t="array" ref="Z215">MIN(IF(Q215:Y215&gt;P215,Q215:Y215))</f>
        <v>5791.666666666667</v>
      </c>
      <c r="AA215" s="184">
        <f t="shared" si="77"/>
        <v>9488.2610746027676</v>
      </c>
      <c r="AB215" s="168">
        <f t="shared" si="98"/>
        <v>5791.666666666667</v>
      </c>
      <c r="AC215" s="187" t="str">
        <f t="shared" si="99"/>
        <v/>
      </c>
      <c r="AD215" s="187" t="str">
        <f t="shared" si="100"/>
        <v/>
      </c>
      <c r="AE215" s="187" t="str">
        <f t="shared" si="101"/>
        <v/>
      </c>
      <c r="AF215" s="187" t="str">
        <f t="shared" si="102"/>
        <v>Casing 4</v>
      </c>
      <c r="AG215" s="187" t="str">
        <f t="shared" si="109"/>
        <v/>
      </c>
      <c r="AH215" s="187" t="str">
        <f t="shared" si="103"/>
        <v/>
      </c>
      <c r="AI215" s="187" t="str">
        <f t="shared" si="104"/>
        <v/>
      </c>
      <c r="AJ215" s="187" t="str">
        <f t="shared" si="105"/>
        <v/>
      </c>
      <c r="AK215" s="187" t="str">
        <f t="shared" si="106"/>
        <v/>
      </c>
      <c r="AL215" s="187" t="str">
        <f t="shared" si="110"/>
        <v>Casing 4</v>
      </c>
      <c r="AM215" s="193">
        <f t="shared" si="111"/>
        <v>12.763</v>
      </c>
      <c r="AN215" s="194">
        <f t="shared" si="112"/>
        <v>80000</v>
      </c>
      <c r="AO215" s="194">
        <f t="shared" si="113"/>
        <v>1066000</v>
      </c>
      <c r="AP215" s="189">
        <f t="shared" si="114"/>
        <v>22.689777777777778</v>
      </c>
      <c r="AQ215" s="189">
        <f t="shared" si="115"/>
        <v>23.68888888888889</v>
      </c>
      <c r="BE215" s="12"/>
    </row>
    <row r="216" spans="1:57">
      <c r="A216" s="119"/>
      <c r="B216" s="168"/>
      <c r="C216" s="168"/>
      <c r="D216" s="168"/>
      <c r="E216" s="12"/>
      <c r="F216" s="173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Y216" s="189"/>
      <c r="Z216" s="189"/>
      <c r="BE216" s="12"/>
    </row>
    <row r="217" spans="1:57">
      <c r="A217" s="119"/>
      <c r="B217" s="169"/>
      <c r="C217" s="169"/>
      <c r="D217" s="169"/>
      <c r="E217" s="169"/>
      <c r="F217" s="169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Y217" s="189"/>
      <c r="Z217" s="189"/>
      <c r="BE217" s="12"/>
    </row>
    <row r="218" spans="1:57">
      <c r="A218" s="119"/>
      <c r="B218" s="169"/>
      <c r="C218" s="169"/>
      <c r="D218" s="169"/>
      <c r="E218" s="169"/>
      <c r="F218" s="169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Y218" s="189"/>
      <c r="Z218" s="189"/>
      <c r="BE218" s="12"/>
    </row>
    <row r="219" spans="1:57">
      <c r="A219" s="119"/>
      <c r="B219" s="169"/>
      <c r="C219" s="169"/>
      <c r="D219" s="169"/>
      <c r="E219" s="169"/>
      <c r="F219" s="169"/>
      <c r="G219" s="173"/>
      <c r="M219" s="12"/>
      <c r="N219" s="12"/>
      <c r="O219" s="12"/>
      <c r="P219" s="12"/>
      <c r="Y219" s="189"/>
      <c r="Z219" s="189"/>
      <c r="BE219" s="12"/>
    </row>
    <row r="220" spans="1:57">
      <c r="A220" s="119"/>
      <c r="B220" s="169"/>
      <c r="C220" s="169"/>
      <c r="D220" s="169"/>
      <c r="E220" s="169"/>
      <c r="F220" s="169"/>
      <c r="G220" s="173"/>
      <c r="M220" s="12"/>
      <c r="N220" s="12"/>
      <c r="O220" s="12"/>
      <c r="P220" s="12"/>
      <c r="Y220" s="189"/>
      <c r="Z220" s="189"/>
      <c r="BE220" s="12"/>
    </row>
    <row r="221" spans="1:57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Y221" s="189"/>
      <c r="Z221" s="189"/>
      <c r="BE221" s="12"/>
    </row>
    <row r="222" spans="1:57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Y222" s="189"/>
      <c r="Z222" s="189"/>
      <c r="BE222" s="12"/>
    </row>
    <row r="223" spans="1:57">
      <c r="Y223" s="189"/>
      <c r="Z223" s="189"/>
      <c r="BE223" s="12"/>
    </row>
    <row r="224" spans="1:57">
      <c r="Y224" s="189"/>
      <c r="Z224" s="189"/>
      <c r="BE224" s="12"/>
    </row>
    <row r="225" spans="25:57">
      <c r="Y225" s="189"/>
      <c r="Z225" s="189"/>
      <c r="BE225" s="12"/>
    </row>
    <row r="226" spans="25:57">
      <c r="Y226" s="189"/>
      <c r="Z226" s="189"/>
      <c r="BE226" s="12"/>
    </row>
    <row r="227" spans="25:57">
      <c r="Y227" s="189"/>
      <c r="Z227" s="189"/>
      <c r="BE227" s="12"/>
    </row>
    <row r="228" spans="25:57">
      <c r="Y228" s="189"/>
      <c r="Z228" s="189"/>
      <c r="BE228" s="12"/>
    </row>
    <row r="229" spans="25:57">
      <c r="Y229" s="189"/>
      <c r="Z229" s="189"/>
      <c r="BE229" s="12"/>
    </row>
    <row r="230" spans="25:57">
      <c r="Y230" s="189"/>
      <c r="Z230" s="189"/>
      <c r="BE230" s="12"/>
    </row>
    <row r="231" spans="25:57">
      <c r="Y231" s="189"/>
      <c r="Z231" s="189"/>
      <c r="BE231" s="12"/>
    </row>
    <row r="232" spans="25:57">
      <c r="Y232" s="189"/>
      <c r="Z232" s="189"/>
      <c r="BE232" s="12"/>
    </row>
    <row r="233" spans="25:57">
      <c r="Y233" s="189"/>
      <c r="Z233" s="189"/>
      <c r="BE233" s="12"/>
    </row>
    <row r="234" spans="25:57">
      <c r="Y234" s="189"/>
      <c r="Z234" s="189"/>
      <c r="BE234" s="12"/>
    </row>
    <row r="235" spans="25:57">
      <c r="Y235" s="189"/>
      <c r="Z235" s="189"/>
      <c r="BE235" s="12"/>
    </row>
    <row r="236" spans="25:57">
      <c r="Y236" s="189"/>
      <c r="Z236" s="189"/>
      <c r="BE236" s="12"/>
    </row>
    <row r="237" spans="25:57">
      <c r="Y237" s="189"/>
      <c r="Z237" s="189"/>
      <c r="BE237" s="12"/>
    </row>
    <row r="238" spans="25:57">
      <c r="Y238" s="189"/>
      <c r="Z238" s="189"/>
      <c r="BE238" s="12"/>
    </row>
    <row r="239" spans="25:57">
      <c r="Y239" s="189"/>
      <c r="Z239" s="189"/>
      <c r="BE239" s="12"/>
    </row>
    <row r="240" spans="25:57">
      <c r="Y240" s="189"/>
      <c r="Z240" s="189"/>
      <c r="BE240" s="12"/>
    </row>
    <row r="241" spans="25:57">
      <c r="Y241" s="189"/>
      <c r="Z241" s="189"/>
      <c r="BE241" s="12"/>
    </row>
    <row r="242" spans="25:57">
      <c r="Y242" s="189"/>
      <c r="Z242" s="189"/>
      <c r="BE242" s="12"/>
    </row>
    <row r="243" spans="25:57">
      <c r="Y243" s="189"/>
      <c r="Z243" s="189"/>
      <c r="BE243" s="12"/>
    </row>
    <row r="244" spans="25:57">
      <c r="Y244" s="189"/>
      <c r="Z244" s="189"/>
      <c r="BE244" s="12"/>
    </row>
    <row r="245" spans="25:57">
      <c r="Y245" s="189"/>
      <c r="Z245" s="189"/>
      <c r="BE245" s="12"/>
    </row>
    <row r="246" spans="25:57">
      <c r="Y246" s="189"/>
      <c r="Z246" s="189"/>
      <c r="BE246" s="12"/>
    </row>
    <row r="247" spans="25:57">
      <c r="Y247" s="189"/>
      <c r="Z247" s="189"/>
      <c r="BE247" s="12"/>
    </row>
    <row r="248" spans="25:57">
      <c r="Y248" s="189"/>
      <c r="Z248" s="189"/>
      <c r="BE248" s="12"/>
    </row>
    <row r="249" spans="25:57">
      <c r="Y249" s="189"/>
      <c r="Z249" s="189"/>
      <c r="BE249" s="12"/>
    </row>
    <row r="250" spans="25:57">
      <c r="Y250" s="189"/>
      <c r="Z250" s="189"/>
    </row>
    <row r="251" spans="25:57">
      <c r="Y251" s="189"/>
      <c r="Z251" s="189"/>
    </row>
    <row r="252" spans="25:57">
      <c r="Y252" s="189"/>
      <c r="Z252" s="189"/>
    </row>
    <row r="253" spans="25:57">
      <c r="Y253" s="189"/>
      <c r="Z253" s="189"/>
    </row>
    <row r="254" spans="25:57">
      <c r="Y254" s="189"/>
      <c r="Z254" s="189"/>
    </row>
    <row r="255" spans="25:57">
      <c r="Y255" s="189"/>
      <c r="Z255" s="189"/>
    </row>
    <row r="256" spans="25:57">
      <c r="Y256" s="189"/>
      <c r="Z256" s="189"/>
    </row>
    <row r="257" spans="25:26">
      <c r="Y257" s="189"/>
      <c r="Z257" s="189"/>
    </row>
    <row r="258" spans="25:26">
      <c r="Y258" s="189"/>
      <c r="Z258" s="189"/>
    </row>
    <row r="259" spans="25:26">
      <c r="Y259" s="189"/>
      <c r="Z259" s="189"/>
    </row>
    <row r="260" spans="25:26">
      <c r="Y260" s="189"/>
      <c r="Z260" s="189"/>
    </row>
    <row r="261" spans="25:26">
      <c r="Y261" s="189"/>
      <c r="Z261" s="189"/>
    </row>
    <row r="262" spans="25:26">
      <c r="Y262" s="189"/>
      <c r="Z262" s="189"/>
    </row>
    <row r="263" spans="25:26">
      <c r="Y263" s="189"/>
      <c r="Z263" s="189"/>
    </row>
    <row r="264" spans="25:26">
      <c r="Y264" s="189"/>
      <c r="Z264" s="189"/>
    </row>
    <row r="265" spans="25:26">
      <c r="Y265" s="189"/>
      <c r="Z265" s="189"/>
    </row>
    <row r="266" spans="25:26">
      <c r="Y266" s="189"/>
      <c r="Z266" s="189"/>
    </row>
    <row r="267" spans="25:26">
      <c r="Y267" s="189"/>
      <c r="Z267" s="189"/>
    </row>
    <row r="268" spans="25:26">
      <c r="Y268" s="189"/>
      <c r="Z268" s="189"/>
    </row>
    <row r="269" spans="25:26">
      <c r="Y269" s="189"/>
      <c r="Z269" s="189"/>
    </row>
    <row r="270" spans="25:26">
      <c r="Y270" s="189"/>
      <c r="Z270" s="189"/>
    </row>
    <row r="271" spans="25:26">
      <c r="Y271" s="189"/>
      <c r="Z271" s="189"/>
    </row>
    <row r="272" spans="25:26">
      <c r="Y272" s="189"/>
      <c r="Z272" s="189"/>
    </row>
    <row r="273" spans="25:26">
      <c r="Y273" s="189"/>
      <c r="Z273" s="189"/>
    </row>
    <row r="274" spans="25:26">
      <c r="Y274" s="189"/>
      <c r="Z274" s="189"/>
    </row>
    <row r="275" spans="25:26">
      <c r="Y275" s="189"/>
      <c r="Z275" s="189"/>
    </row>
    <row r="276" spans="25:26">
      <c r="Y276" s="189"/>
      <c r="Z276" s="189"/>
    </row>
    <row r="277" spans="25:26">
      <c r="Y277" s="189"/>
      <c r="Z277" s="189"/>
    </row>
    <row r="278" spans="25:26">
      <c r="Y278" s="189"/>
      <c r="Z278" s="189"/>
    </row>
    <row r="279" spans="25:26">
      <c r="Y279" s="189"/>
      <c r="Z279" s="189"/>
    </row>
    <row r="280" spans="25:26">
      <c r="Y280" s="189"/>
      <c r="Z280" s="189"/>
    </row>
    <row r="281" spans="25:26">
      <c r="Y281" s="189"/>
      <c r="Z281" s="189"/>
    </row>
    <row r="282" spans="25:26">
      <c r="Y282" s="189"/>
      <c r="Z282" s="189"/>
    </row>
    <row r="283" spans="25:26">
      <c r="Y283" s="189"/>
      <c r="Z283" s="189"/>
    </row>
    <row r="284" spans="25:26">
      <c r="Y284" s="189"/>
      <c r="Z284" s="189"/>
    </row>
    <row r="285" spans="25:26">
      <c r="Y285" s="189"/>
      <c r="Z285" s="189"/>
    </row>
    <row r="286" spans="25:26">
      <c r="Y286" s="189"/>
      <c r="Z286" s="189"/>
    </row>
    <row r="287" spans="25:26">
      <c r="Y287" s="189"/>
      <c r="Z287" s="189"/>
    </row>
    <row r="288" spans="25:26">
      <c r="Y288" s="189"/>
      <c r="Z288" s="189"/>
    </row>
    <row r="289" spans="25:26">
      <c r="Y289" s="189"/>
      <c r="Z289" s="189"/>
    </row>
    <row r="290" spans="25:26">
      <c r="Y290" s="189"/>
      <c r="Z290" s="189"/>
    </row>
    <row r="291" spans="25:26">
      <c r="Y291" s="189"/>
      <c r="Z291" s="189"/>
    </row>
    <row r="292" spans="25:26">
      <c r="Y292" s="189"/>
      <c r="Z292" s="189"/>
    </row>
    <row r="293" spans="25:26">
      <c r="Y293" s="189"/>
      <c r="Z293" s="189"/>
    </row>
    <row r="294" spans="25:26">
      <c r="Y294" s="189"/>
      <c r="Z294" s="189"/>
    </row>
    <row r="295" spans="25:26">
      <c r="Y295" s="189"/>
      <c r="Z295" s="189"/>
    </row>
    <row r="296" spans="25:26">
      <c r="Y296" s="189"/>
      <c r="Z296" s="189"/>
    </row>
    <row r="297" spans="25:26">
      <c r="Y297" s="189"/>
      <c r="Z297" s="189"/>
    </row>
    <row r="298" spans="25:26">
      <c r="Y298" s="189"/>
      <c r="Z298" s="189"/>
    </row>
    <row r="299" spans="25:26">
      <c r="Y299" s="189"/>
      <c r="Z299" s="189"/>
    </row>
    <row r="300" spans="25:26">
      <c r="Y300" s="189"/>
      <c r="Z300" s="189"/>
    </row>
    <row r="301" spans="25:26">
      <c r="Y301" s="189"/>
      <c r="Z301" s="189"/>
    </row>
    <row r="302" spans="25:26">
      <c r="Y302" s="189"/>
      <c r="Z302" s="189"/>
    </row>
    <row r="303" spans="25:26">
      <c r="Y303" s="189"/>
      <c r="Z303" s="189"/>
    </row>
    <row r="304" spans="25:26">
      <c r="Y304" s="189"/>
      <c r="Z304" s="189"/>
    </row>
    <row r="305" spans="25:26">
      <c r="Y305" s="189"/>
      <c r="Z305" s="189"/>
    </row>
    <row r="306" spans="25:26">
      <c r="Y306" s="189"/>
      <c r="Z306" s="189"/>
    </row>
    <row r="307" spans="25:26">
      <c r="Y307" s="189"/>
      <c r="Z307" s="189"/>
    </row>
    <row r="308" spans="25:26">
      <c r="Y308" s="189"/>
      <c r="Z308" s="189"/>
    </row>
    <row r="309" spans="25:26">
      <c r="Y309" s="189"/>
      <c r="Z309" s="189"/>
    </row>
    <row r="310" spans="25:26">
      <c r="Y310" s="189"/>
      <c r="Z310" s="189"/>
    </row>
    <row r="311" spans="25:26">
      <c r="Y311" s="189"/>
      <c r="Z311" s="189"/>
    </row>
    <row r="312" spans="25:26">
      <c r="Y312" s="189"/>
      <c r="Z312" s="189"/>
    </row>
  </sheetData>
  <dataConsolidate/>
  <mergeCells count="51">
    <mergeCell ref="A12:C12"/>
    <mergeCell ref="U5:W5"/>
    <mergeCell ref="H1:J1"/>
    <mergeCell ref="H2:J2"/>
    <mergeCell ref="U2:W2"/>
    <mergeCell ref="U4:W4"/>
    <mergeCell ref="R1:Z1"/>
    <mergeCell ref="A8:C8"/>
    <mergeCell ref="D5:F5"/>
    <mergeCell ref="D1:F1"/>
    <mergeCell ref="A4:C4"/>
    <mergeCell ref="D7:F7"/>
    <mergeCell ref="A1:C1"/>
    <mergeCell ref="A3:C3"/>
    <mergeCell ref="AF7:AH7"/>
    <mergeCell ref="V10:W10"/>
    <mergeCell ref="R11:S11"/>
    <mergeCell ref="D10:F10"/>
    <mergeCell ref="M1:O1"/>
    <mergeCell ref="M8:O8"/>
    <mergeCell ref="R8:AB8"/>
    <mergeCell ref="X9:Z9"/>
    <mergeCell ref="R9:W9"/>
    <mergeCell ref="AA4:AB4"/>
    <mergeCell ref="AA5:AB5"/>
    <mergeCell ref="AJ1:AN1"/>
    <mergeCell ref="H11:K12"/>
    <mergeCell ref="AJ2:AN2"/>
    <mergeCell ref="R15:Y15"/>
    <mergeCell ref="V14:Y14"/>
    <mergeCell ref="R12:S12"/>
    <mergeCell ref="R13:S13"/>
    <mergeCell ref="V11:W11"/>
    <mergeCell ref="V13:W13"/>
    <mergeCell ref="V12:W12"/>
    <mergeCell ref="R14:S14"/>
    <mergeCell ref="AN13:BA13"/>
    <mergeCell ref="AI5:AK5"/>
    <mergeCell ref="AF3:AH3"/>
    <mergeCell ref="AF1:AH1"/>
    <mergeCell ref="R10:S10"/>
    <mergeCell ref="F129:G129"/>
    <mergeCell ref="F123:G123"/>
    <mergeCell ref="G105:I105"/>
    <mergeCell ref="B111:H111"/>
    <mergeCell ref="B123:D123"/>
    <mergeCell ref="AA133:AK133"/>
    <mergeCell ref="AL133:AQ133"/>
    <mergeCell ref="O133:Z133"/>
    <mergeCell ref="C133:N133"/>
    <mergeCell ref="B102:E104"/>
  </mergeCells>
  <conditionalFormatting sqref="E135:N135">
    <cfRule type="cellIs" dxfId="175" priority="180" operator="equal">
      <formula>$N$135</formula>
    </cfRule>
  </conditionalFormatting>
  <conditionalFormatting sqref="E136:N136">
    <cfRule type="cellIs" dxfId="174" priority="178" operator="equal">
      <formula>$N$136</formula>
    </cfRule>
    <cfRule type="cellIs" dxfId="173" priority="179" operator="equal">
      <formula>"6,818.2$BY$5"</formula>
    </cfRule>
  </conditionalFormatting>
  <conditionalFormatting sqref="E137:N137">
    <cfRule type="cellIs" dxfId="172" priority="177" operator="equal">
      <formula>$N$137</formula>
    </cfRule>
  </conditionalFormatting>
  <conditionalFormatting sqref="E138:N138">
    <cfRule type="cellIs" dxfId="171" priority="176" operator="equal">
      <formula>$N$138</formula>
    </cfRule>
  </conditionalFormatting>
  <conditionalFormatting sqref="E139:N139">
    <cfRule type="cellIs" dxfId="170" priority="175" operator="equal">
      <formula>$N$139</formula>
    </cfRule>
  </conditionalFormatting>
  <conditionalFormatting sqref="E140:N140">
    <cfRule type="cellIs" dxfId="169" priority="174" operator="equal">
      <formula>$N$140</formula>
    </cfRule>
  </conditionalFormatting>
  <conditionalFormatting sqref="E141:N141">
    <cfRule type="cellIs" dxfId="168" priority="173" operator="equal">
      <formula>$N$141</formula>
    </cfRule>
  </conditionalFormatting>
  <conditionalFormatting sqref="E142:N142">
    <cfRule type="cellIs" dxfId="167" priority="172" operator="equal">
      <formula>$N$142</formula>
    </cfRule>
  </conditionalFormatting>
  <conditionalFormatting sqref="E148:N148">
    <cfRule type="cellIs" dxfId="166" priority="165" operator="equal">
      <formula>$N$148</formula>
    </cfRule>
    <cfRule type="cellIs" dxfId="165" priority="171" operator="equal">
      <formula>"BY12"</formula>
    </cfRule>
  </conditionalFormatting>
  <conditionalFormatting sqref="E143:N143">
    <cfRule type="cellIs" dxfId="164" priority="170" operator="equal">
      <formula>$N$143</formula>
    </cfRule>
  </conditionalFormatting>
  <conditionalFormatting sqref="E144:N144">
    <cfRule type="cellIs" dxfId="163" priority="169" operator="equal">
      <formula>$N$144</formula>
    </cfRule>
  </conditionalFormatting>
  <conditionalFormatting sqref="E145:N145">
    <cfRule type="cellIs" dxfId="162" priority="168" operator="equal">
      <formula>$N$145</formula>
    </cfRule>
  </conditionalFormatting>
  <conditionalFormatting sqref="E146:N146">
    <cfRule type="cellIs" dxfId="161" priority="167" operator="equal">
      <formula>$N$146</formula>
    </cfRule>
  </conditionalFormatting>
  <conditionalFormatting sqref="E147:N147">
    <cfRule type="cellIs" dxfId="160" priority="166" operator="equal">
      <formula>$N$147</formula>
    </cfRule>
  </conditionalFormatting>
  <conditionalFormatting sqref="E149:N149">
    <cfRule type="cellIs" dxfId="159" priority="164" operator="equal">
      <formula>$N$149</formula>
    </cfRule>
  </conditionalFormatting>
  <conditionalFormatting sqref="E150:N150">
    <cfRule type="cellIs" dxfId="158" priority="163" operator="equal">
      <formula>$N$150</formula>
    </cfRule>
  </conditionalFormatting>
  <conditionalFormatting sqref="E151:N151">
    <cfRule type="cellIs" dxfId="157" priority="162" operator="equal">
      <formula>$N$151</formula>
    </cfRule>
  </conditionalFormatting>
  <conditionalFormatting sqref="E152:N152">
    <cfRule type="cellIs" dxfId="156" priority="161" operator="equal">
      <formula>$N$152</formula>
    </cfRule>
  </conditionalFormatting>
  <conditionalFormatting sqref="E153:N153">
    <cfRule type="cellIs" dxfId="155" priority="160" operator="equal">
      <formula>$N$153</formula>
    </cfRule>
  </conditionalFormatting>
  <conditionalFormatting sqref="E154:N154">
    <cfRule type="cellIs" dxfId="154" priority="159" operator="equal">
      <formula>$N$154</formula>
    </cfRule>
  </conditionalFormatting>
  <conditionalFormatting sqref="E155:N155">
    <cfRule type="cellIs" dxfId="153" priority="158" operator="equal">
      <formula>$N$155</formula>
    </cfRule>
  </conditionalFormatting>
  <conditionalFormatting sqref="E156:N156">
    <cfRule type="cellIs" dxfId="152" priority="157" operator="equal">
      <formula>$N$156</formula>
    </cfRule>
  </conditionalFormatting>
  <conditionalFormatting sqref="E157:N157">
    <cfRule type="cellIs" dxfId="151" priority="156" operator="equal">
      <formula>$N$157</formula>
    </cfRule>
  </conditionalFormatting>
  <conditionalFormatting sqref="E158:N158">
    <cfRule type="cellIs" dxfId="150" priority="155" operator="equal">
      <formula>$N$158</formula>
    </cfRule>
  </conditionalFormatting>
  <conditionalFormatting sqref="E159:N159">
    <cfRule type="cellIs" dxfId="149" priority="154" operator="equal">
      <formula>$N$159</formula>
    </cfRule>
  </conditionalFormatting>
  <conditionalFormatting sqref="E160:N160">
    <cfRule type="cellIs" dxfId="148" priority="153" operator="equal">
      <formula>$N$160</formula>
    </cfRule>
  </conditionalFormatting>
  <conditionalFormatting sqref="E161:N161">
    <cfRule type="cellIs" dxfId="147" priority="152" operator="equal">
      <formula>$N$161</formula>
    </cfRule>
  </conditionalFormatting>
  <conditionalFormatting sqref="E162:N162">
    <cfRule type="cellIs" dxfId="146" priority="151" operator="equal">
      <formula>$N$162</formula>
    </cfRule>
  </conditionalFormatting>
  <conditionalFormatting sqref="E163:N163">
    <cfRule type="cellIs" dxfId="145" priority="150" operator="equal">
      <formula>$N$163</formula>
    </cfRule>
  </conditionalFormatting>
  <conditionalFormatting sqref="E164:N164">
    <cfRule type="cellIs" dxfId="144" priority="149" operator="equal">
      <formula>$N$164</formula>
    </cfRule>
  </conditionalFormatting>
  <conditionalFormatting sqref="E165:N165">
    <cfRule type="cellIs" dxfId="143" priority="148" operator="equal">
      <formula>$N$165</formula>
    </cfRule>
  </conditionalFormatting>
  <conditionalFormatting sqref="E166:N166">
    <cfRule type="cellIs" dxfId="142" priority="147" operator="equal">
      <formula>$N$166</formula>
    </cfRule>
  </conditionalFormatting>
  <conditionalFormatting sqref="E167:N167">
    <cfRule type="cellIs" dxfId="141" priority="146" operator="equal">
      <formula>$N$167</formula>
    </cfRule>
  </conditionalFormatting>
  <conditionalFormatting sqref="E168:N168">
    <cfRule type="cellIs" dxfId="140" priority="145" operator="equal">
      <formula>$N$168</formula>
    </cfRule>
  </conditionalFormatting>
  <conditionalFormatting sqref="E169:N169">
    <cfRule type="cellIs" dxfId="139" priority="144" operator="equal">
      <formula>$N$169</formula>
    </cfRule>
  </conditionalFormatting>
  <conditionalFormatting sqref="E170:N170">
    <cfRule type="cellIs" dxfId="138" priority="143" operator="equal">
      <formula>$N$170</formula>
    </cfRule>
  </conditionalFormatting>
  <conditionalFormatting sqref="E171:N171">
    <cfRule type="cellIs" dxfId="137" priority="142" operator="equal">
      <formula>$N$171</formula>
    </cfRule>
  </conditionalFormatting>
  <conditionalFormatting sqref="E172:N172">
    <cfRule type="cellIs" dxfId="136" priority="141" operator="equal">
      <formula>$N$172</formula>
    </cfRule>
  </conditionalFormatting>
  <conditionalFormatting sqref="E173:N173">
    <cfRule type="cellIs" dxfId="135" priority="140" operator="equal">
      <formula>$N$173</formula>
    </cfRule>
  </conditionalFormatting>
  <conditionalFormatting sqref="E174:N174">
    <cfRule type="cellIs" dxfId="134" priority="139" operator="equal">
      <formula>$N$174</formula>
    </cfRule>
  </conditionalFormatting>
  <conditionalFormatting sqref="E175:N175">
    <cfRule type="cellIs" dxfId="133" priority="138" operator="equal">
      <formula>$N$175</formula>
    </cfRule>
  </conditionalFormatting>
  <conditionalFormatting sqref="E176:N176">
    <cfRule type="cellIs" dxfId="132" priority="137" operator="equal">
      <formula>$N$176</formula>
    </cfRule>
  </conditionalFormatting>
  <conditionalFormatting sqref="E177:N177">
    <cfRule type="cellIs" dxfId="131" priority="136" operator="equal">
      <formula>$N$177</formula>
    </cfRule>
  </conditionalFormatting>
  <conditionalFormatting sqref="E178:N178">
    <cfRule type="cellIs" dxfId="130" priority="135" operator="equal">
      <formula>$N$178</formula>
    </cfRule>
  </conditionalFormatting>
  <conditionalFormatting sqref="E179:N179">
    <cfRule type="cellIs" dxfId="129" priority="134" operator="equal">
      <formula>$N$179</formula>
    </cfRule>
  </conditionalFormatting>
  <conditionalFormatting sqref="E180:N180">
    <cfRule type="cellIs" dxfId="128" priority="133" operator="equal">
      <formula>$N$180</formula>
    </cfRule>
  </conditionalFormatting>
  <conditionalFormatting sqref="E181:N181">
    <cfRule type="cellIs" dxfId="127" priority="132" operator="equal">
      <formula>$N$181</formula>
    </cfRule>
  </conditionalFormatting>
  <conditionalFormatting sqref="E182:N182">
    <cfRule type="cellIs" dxfId="126" priority="131" operator="equal">
      <formula>$N$182</formula>
    </cfRule>
  </conditionalFormatting>
  <conditionalFormatting sqref="E183:N183">
    <cfRule type="cellIs" dxfId="125" priority="130" operator="equal">
      <formula>$N$183</formula>
    </cfRule>
  </conditionalFormatting>
  <conditionalFormatting sqref="E184:N184">
    <cfRule type="cellIs" dxfId="124" priority="129" operator="equal">
      <formula>$N$184</formula>
    </cfRule>
  </conditionalFormatting>
  <conditionalFormatting sqref="E185:N185">
    <cfRule type="cellIs" dxfId="123" priority="128" operator="equal">
      <formula>$N$185</formula>
    </cfRule>
  </conditionalFormatting>
  <conditionalFormatting sqref="E186:N186">
    <cfRule type="cellIs" dxfId="122" priority="127" operator="equal">
      <formula>$N$186</formula>
    </cfRule>
  </conditionalFormatting>
  <conditionalFormatting sqref="E187:N187">
    <cfRule type="cellIs" dxfId="121" priority="126" operator="equal">
      <formula>$N$187</formula>
    </cfRule>
  </conditionalFormatting>
  <conditionalFormatting sqref="E188:N188">
    <cfRule type="cellIs" dxfId="120" priority="125" operator="equal">
      <formula>$N$188</formula>
    </cfRule>
  </conditionalFormatting>
  <conditionalFormatting sqref="E189:N189">
    <cfRule type="cellIs" dxfId="119" priority="123" operator="equal">
      <formula>$N$189</formula>
    </cfRule>
    <cfRule type="cellIs" dxfId="118" priority="124" operator="equal">
      <formula>"6,818.2$BY$58"</formula>
    </cfRule>
  </conditionalFormatting>
  <conditionalFormatting sqref="E190:N190">
    <cfRule type="cellIs" dxfId="117" priority="122" operator="equal">
      <formula>$N$190</formula>
    </cfRule>
  </conditionalFormatting>
  <conditionalFormatting sqref="E191:N191">
    <cfRule type="cellIs" dxfId="116" priority="121" operator="equal">
      <formula>$N$191</formula>
    </cfRule>
  </conditionalFormatting>
  <conditionalFormatting sqref="E192:N192">
    <cfRule type="cellIs" dxfId="115" priority="120" operator="equal">
      <formula>$N$192</formula>
    </cfRule>
  </conditionalFormatting>
  <conditionalFormatting sqref="E193:N193">
    <cfRule type="cellIs" dxfId="114" priority="119" operator="equal">
      <formula>$N$193</formula>
    </cfRule>
  </conditionalFormatting>
  <conditionalFormatting sqref="E194:N194">
    <cfRule type="cellIs" dxfId="113" priority="118" operator="equal">
      <formula>$N$194</formula>
    </cfRule>
  </conditionalFormatting>
  <conditionalFormatting sqref="E195:N195">
    <cfRule type="cellIs" dxfId="112" priority="117" operator="equal">
      <formula>$N$195</formula>
    </cfRule>
  </conditionalFormatting>
  <conditionalFormatting sqref="E196:N196">
    <cfRule type="cellIs" dxfId="111" priority="116" operator="equal">
      <formula>$N$196</formula>
    </cfRule>
  </conditionalFormatting>
  <conditionalFormatting sqref="E197:N197">
    <cfRule type="cellIs" dxfId="110" priority="115" operator="equal">
      <formula>$N$197</formula>
    </cfRule>
  </conditionalFormatting>
  <conditionalFormatting sqref="E198:N198">
    <cfRule type="cellIs" dxfId="109" priority="114" operator="equal">
      <formula>$N$198</formula>
    </cfRule>
  </conditionalFormatting>
  <conditionalFormatting sqref="E199:N199">
    <cfRule type="cellIs" dxfId="108" priority="113" operator="equal">
      <formula>$N$199</formula>
    </cfRule>
  </conditionalFormatting>
  <conditionalFormatting sqref="E200:N200">
    <cfRule type="cellIs" dxfId="107" priority="112" operator="equal">
      <formula>$N$200</formula>
    </cfRule>
  </conditionalFormatting>
  <conditionalFormatting sqref="E201:N201">
    <cfRule type="cellIs" dxfId="106" priority="111" operator="equal">
      <formula>$N$201</formula>
    </cfRule>
  </conditionalFormatting>
  <conditionalFormatting sqref="E202:N202">
    <cfRule type="cellIs" dxfId="105" priority="110" operator="equal">
      <formula>$N$202</formula>
    </cfRule>
  </conditionalFormatting>
  <conditionalFormatting sqref="E203:N203">
    <cfRule type="cellIs" dxfId="104" priority="109" operator="equal">
      <formula>$N$203</formula>
    </cfRule>
  </conditionalFormatting>
  <conditionalFormatting sqref="E204:N204">
    <cfRule type="cellIs" dxfId="103" priority="108" operator="equal">
      <formula>$N$204</formula>
    </cfRule>
  </conditionalFormatting>
  <conditionalFormatting sqref="E205:N205">
    <cfRule type="cellIs" dxfId="102" priority="107" operator="equal">
      <formula>$N$205</formula>
    </cfRule>
  </conditionalFormatting>
  <conditionalFormatting sqref="E206:N206">
    <cfRule type="cellIs" dxfId="101" priority="106" operator="equal">
      <formula>$N$206</formula>
    </cfRule>
  </conditionalFormatting>
  <conditionalFormatting sqref="E207:N207">
    <cfRule type="cellIs" dxfId="100" priority="105" operator="equal">
      <formula>$N$207</formula>
    </cfRule>
  </conditionalFormatting>
  <conditionalFormatting sqref="E208:N208">
    <cfRule type="cellIs" dxfId="99" priority="104" operator="equal">
      <formula>$N$208</formula>
    </cfRule>
  </conditionalFormatting>
  <conditionalFormatting sqref="E209:N209">
    <cfRule type="cellIs" dxfId="98" priority="103" operator="equal">
      <formula>$N$209</formula>
    </cfRule>
  </conditionalFormatting>
  <conditionalFormatting sqref="E210:N210">
    <cfRule type="cellIs" dxfId="97" priority="102" operator="equal">
      <formula>$N$210</formula>
    </cfRule>
  </conditionalFormatting>
  <conditionalFormatting sqref="E211:N211">
    <cfRule type="cellIs" dxfId="96" priority="101" operator="equal">
      <formula>$N$211</formula>
    </cfRule>
  </conditionalFormatting>
  <conditionalFormatting sqref="E212:N212">
    <cfRule type="cellIs" dxfId="95" priority="100" operator="equal">
      <formula>$N$212</formula>
    </cfRule>
  </conditionalFormatting>
  <conditionalFormatting sqref="E213:N213">
    <cfRule type="cellIs" dxfId="94" priority="99" operator="equal">
      <formula>$N$213</formula>
    </cfRule>
  </conditionalFormatting>
  <conditionalFormatting sqref="E214:N214">
    <cfRule type="cellIs" dxfId="93" priority="98" operator="equal">
      <formula>$N$214</formula>
    </cfRule>
  </conditionalFormatting>
  <conditionalFormatting sqref="E215:N215">
    <cfRule type="cellIs" dxfId="92" priority="97" operator="equal">
      <formula>$N$215</formula>
    </cfRule>
  </conditionalFormatting>
  <conditionalFormatting sqref="Q135:Z135">
    <cfRule type="cellIs" dxfId="91" priority="96" operator="equal">
      <formula>$Z$135</formula>
    </cfRule>
  </conditionalFormatting>
  <conditionalFormatting sqref="Q136:Z136">
    <cfRule type="cellIs" dxfId="90" priority="95" operator="equal">
      <formula>$Z$136</formula>
    </cfRule>
  </conditionalFormatting>
  <conditionalFormatting sqref="Q137:Z137">
    <cfRule type="cellIs" dxfId="89" priority="94" operator="equal">
      <formula>$Z$137</formula>
    </cfRule>
  </conditionalFormatting>
  <conditionalFormatting sqref="Q138:Z138">
    <cfRule type="cellIs" dxfId="88" priority="93" operator="equal">
      <formula>$Z$138</formula>
    </cfRule>
  </conditionalFormatting>
  <conditionalFormatting sqref="Q139:Z139">
    <cfRule type="cellIs" dxfId="87" priority="92" operator="equal">
      <formula>$Z$139</formula>
    </cfRule>
  </conditionalFormatting>
  <conditionalFormatting sqref="Q140:Z140">
    <cfRule type="cellIs" dxfId="86" priority="91" operator="equal">
      <formula>$Z$140</formula>
    </cfRule>
  </conditionalFormatting>
  <conditionalFormatting sqref="Q141:Z141">
    <cfRule type="cellIs" dxfId="85" priority="90" operator="equal">
      <formula>$Z$141</formula>
    </cfRule>
  </conditionalFormatting>
  <conditionalFormatting sqref="Q142:Z142">
    <cfRule type="cellIs" dxfId="84" priority="89" operator="equal">
      <formula>$Z$142</formula>
    </cfRule>
  </conditionalFormatting>
  <conditionalFormatting sqref="Q143:Z143">
    <cfRule type="cellIs" dxfId="83" priority="88" operator="equal">
      <formula>$Z$143</formula>
    </cfRule>
  </conditionalFormatting>
  <conditionalFormatting sqref="Q144:Z144">
    <cfRule type="cellIs" dxfId="82" priority="87" operator="equal">
      <formula>$Z$144</formula>
    </cfRule>
  </conditionalFormatting>
  <conditionalFormatting sqref="Q145:Z145">
    <cfRule type="cellIs" dxfId="81" priority="86" operator="equal">
      <formula>$Z$145</formula>
    </cfRule>
  </conditionalFormatting>
  <conditionalFormatting sqref="Q146:Z146">
    <cfRule type="cellIs" dxfId="80" priority="85" operator="equal">
      <formula>$Z$146</formula>
    </cfRule>
  </conditionalFormatting>
  <conditionalFormatting sqref="Q147:Z147">
    <cfRule type="cellIs" dxfId="79" priority="84" operator="equal">
      <formula>$Z$147</formula>
    </cfRule>
  </conditionalFormatting>
  <conditionalFormatting sqref="Q148:Z148">
    <cfRule type="cellIs" dxfId="78" priority="83" operator="equal">
      <formula>$Z$148</formula>
    </cfRule>
  </conditionalFormatting>
  <conditionalFormatting sqref="Q149:Z149">
    <cfRule type="cellIs" dxfId="77" priority="82" operator="equal">
      <formula>$Z$149</formula>
    </cfRule>
  </conditionalFormatting>
  <conditionalFormatting sqref="Q150:Z150">
    <cfRule type="cellIs" dxfId="76" priority="81" operator="equal">
      <formula>$Z$150</formula>
    </cfRule>
  </conditionalFormatting>
  <conditionalFormatting sqref="Q151:Z151">
    <cfRule type="cellIs" dxfId="75" priority="80" operator="equal">
      <formula>$Z$151</formula>
    </cfRule>
  </conditionalFormatting>
  <conditionalFormatting sqref="Q152:Z152">
    <cfRule type="cellIs" dxfId="74" priority="79" operator="equal">
      <formula>$Z$152</formula>
    </cfRule>
  </conditionalFormatting>
  <conditionalFormatting sqref="Q153:Z153">
    <cfRule type="cellIs" dxfId="73" priority="78" operator="equal">
      <formula>$Z$153</formula>
    </cfRule>
  </conditionalFormatting>
  <conditionalFormatting sqref="Q154:Z154">
    <cfRule type="cellIs" dxfId="72" priority="77" operator="equal">
      <formula>$Z$154</formula>
    </cfRule>
  </conditionalFormatting>
  <conditionalFormatting sqref="Q155:Z155">
    <cfRule type="cellIs" dxfId="71" priority="76" operator="equal">
      <formula>$Z$155</formula>
    </cfRule>
  </conditionalFormatting>
  <conditionalFormatting sqref="Q156:Z156">
    <cfRule type="cellIs" dxfId="70" priority="75" operator="equal">
      <formula>$Z$156</formula>
    </cfRule>
  </conditionalFormatting>
  <conditionalFormatting sqref="Q157:Z157">
    <cfRule type="cellIs" dxfId="69" priority="74" operator="equal">
      <formula>$Z$157</formula>
    </cfRule>
  </conditionalFormatting>
  <conditionalFormatting sqref="Q158:Z158">
    <cfRule type="cellIs" dxfId="68" priority="73" operator="equal">
      <formula>$Z$158</formula>
    </cfRule>
  </conditionalFormatting>
  <conditionalFormatting sqref="Q159:Z159">
    <cfRule type="cellIs" dxfId="67" priority="72" operator="equal">
      <formula>$Z$159</formula>
    </cfRule>
  </conditionalFormatting>
  <conditionalFormatting sqref="Q160:Z160">
    <cfRule type="cellIs" dxfId="66" priority="71" operator="equal">
      <formula>$Z$160</formula>
    </cfRule>
  </conditionalFormatting>
  <conditionalFormatting sqref="Q161:Z161">
    <cfRule type="cellIs" dxfId="65" priority="70" operator="equal">
      <formula>$Z$161</formula>
    </cfRule>
  </conditionalFormatting>
  <conditionalFormatting sqref="Q162:Z162">
    <cfRule type="cellIs" dxfId="64" priority="69" operator="equal">
      <formula>$Z$162</formula>
    </cfRule>
  </conditionalFormatting>
  <conditionalFormatting sqref="Q163:Z163">
    <cfRule type="cellIs" dxfId="63" priority="68" operator="equal">
      <formula>$Z$163</formula>
    </cfRule>
  </conditionalFormatting>
  <conditionalFormatting sqref="Q164:Z164">
    <cfRule type="cellIs" dxfId="62" priority="67" operator="equal">
      <formula>$Z$164</formula>
    </cfRule>
  </conditionalFormatting>
  <conditionalFormatting sqref="Q165:Z165">
    <cfRule type="cellIs" dxfId="61" priority="66" operator="equal">
      <formula>$Z$165</formula>
    </cfRule>
  </conditionalFormatting>
  <conditionalFormatting sqref="Q166:Z166">
    <cfRule type="cellIs" dxfId="60" priority="65" operator="equal">
      <formula>$Z$166</formula>
    </cfRule>
  </conditionalFormatting>
  <conditionalFormatting sqref="Q167:Z167">
    <cfRule type="cellIs" dxfId="59" priority="64" operator="equal">
      <formula>$Z$167</formula>
    </cfRule>
  </conditionalFormatting>
  <conditionalFormatting sqref="Q168:Z168">
    <cfRule type="cellIs" dxfId="58" priority="63" operator="equal">
      <formula>$Z$168</formula>
    </cfRule>
  </conditionalFormatting>
  <conditionalFormatting sqref="Q169:Z169">
    <cfRule type="cellIs" dxfId="57" priority="62" operator="equal">
      <formula>$Z$169</formula>
    </cfRule>
  </conditionalFormatting>
  <conditionalFormatting sqref="Q171:Z171">
    <cfRule type="cellIs" dxfId="56" priority="61" operator="equal">
      <formula>$Z$171</formula>
    </cfRule>
  </conditionalFormatting>
  <conditionalFormatting sqref="Q170:Z170">
    <cfRule type="cellIs" dxfId="55" priority="60" operator="equal">
      <formula>$Z$170</formula>
    </cfRule>
  </conditionalFormatting>
  <conditionalFormatting sqref="Q172:Z172">
    <cfRule type="cellIs" dxfId="54" priority="59" operator="equal">
      <formula>$Z$172</formula>
    </cfRule>
  </conditionalFormatting>
  <conditionalFormatting sqref="Q173:Z173">
    <cfRule type="cellIs" dxfId="53" priority="58" operator="equal">
      <formula>$Z$173</formula>
    </cfRule>
  </conditionalFormatting>
  <conditionalFormatting sqref="Q175:Z175">
    <cfRule type="cellIs" dxfId="52" priority="57" operator="equal">
      <formula>$Z$175</formula>
    </cfRule>
  </conditionalFormatting>
  <conditionalFormatting sqref="Q174:Z174">
    <cfRule type="cellIs" dxfId="51" priority="56" operator="equal">
      <formula>$Z$174</formula>
    </cfRule>
  </conditionalFormatting>
  <conditionalFormatting sqref="Q176:Z176">
    <cfRule type="cellIs" dxfId="50" priority="55" operator="equal">
      <formula>$Z$176</formula>
    </cfRule>
  </conditionalFormatting>
  <conditionalFormatting sqref="Q177:Z177">
    <cfRule type="cellIs" dxfId="49" priority="54" operator="equal">
      <formula>$Z$177</formula>
    </cfRule>
  </conditionalFormatting>
  <conditionalFormatting sqref="Q178:Z178">
    <cfRule type="cellIs" dxfId="48" priority="53" operator="equal">
      <formula>$Z$178</formula>
    </cfRule>
  </conditionalFormatting>
  <conditionalFormatting sqref="Q179:Z179">
    <cfRule type="cellIs" dxfId="47" priority="52" operator="equal">
      <formula>$Z$179</formula>
    </cfRule>
  </conditionalFormatting>
  <conditionalFormatting sqref="Q180:Z180">
    <cfRule type="cellIs" dxfId="46" priority="51" operator="equal">
      <formula>$Z$180</formula>
    </cfRule>
  </conditionalFormatting>
  <conditionalFormatting sqref="Q181:Z181">
    <cfRule type="cellIs" dxfId="45" priority="50" operator="equal">
      <formula>$Z$181</formula>
    </cfRule>
  </conditionalFormatting>
  <conditionalFormatting sqref="Q182:Z182">
    <cfRule type="cellIs" dxfId="44" priority="49" operator="equal">
      <formula>$Z$182</formula>
    </cfRule>
  </conditionalFormatting>
  <conditionalFormatting sqref="Q183:Z183">
    <cfRule type="cellIs" dxfId="43" priority="48" operator="equal">
      <formula>$Z$183</formula>
    </cfRule>
  </conditionalFormatting>
  <conditionalFormatting sqref="Q184:Z184">
    <cfRule type="cellIs" dxfId="42" priority="47" operator="equal">
      <formula>$Z$184</formula>
    </cfRule>
  </conditionalFormatting>
  <conditionalFormatting sqref="Q185:Z185">
    <cfRule type="cellIs" dxfId="41" priority="46" operator="equal">
      <formula>$Z$185</formula>
    </cfRule>
  </conditionalFormatting>
  <conditionalFormatting sqref="Q186:Z186">
    <cfRule type="cellIs" dxfId="40" priority="45" operator="equal">
      <formula>$Z$186</formula>
    </cfRule>
  </conditionalFormatting>
  <conditionalFormatting sqref="Q187:Z187">
    <cfRule type="cellIs" dxfId="39" priority="44" operator="equal">
      <formula>$Z$187</formula>
    </cfRule>
  </conditionalFormatting>
  <conditionalFormatting sqref="Q189:Z189">
    <cfRule type="cellIs" dxfId="38" priority="43" operator="equal">
      <formula>$Z$189</formula>
    </cfRule>
  </conditionalFormatting>
  <conditionalFormatting sqref="Q188:Z188">
    <cfRule type="cellIs" dxfId="37" priority="42" operator="equal">
      <formula>$Z$188</formula>
    </cfRule>
  </conditionalFormatting>
  <conditionalFormatting sqref="Q190:Z190">
    <cfRule type="cellIs" dxfId="36" priority="41" operator="equal">
      <formula>$Z$190</formula>
    </cfRule>
  </conditionalFormatting>
  <conditionalFormatting sqref="Q191:Z191">
    <cfRule type="cellIs" dxfId="35" priority="40" operator="equal">
      <formula>$Z$191</formula>
    </cfRule>
  </conditionalFormatting>
  <conditionalFormatting sqref="Q192:Z192">
    <cfRule type="cellIs" dxfId="34" priority="38" operator="equal">
      <formula>$Z$192</formula>
    </cfRule>
  </conditionalFormatting>
  <conditionalFormatting sqref="Q193:Z193">
    <cfRule type="cellIs" dxfId="33" priority="37" operator="equal">
      <formula>$Z$193</formula>
    </cfRule>
  </conditionalFormatting>
  <conditionalFormatting sqref="Q194:Z194">
    <cfRule type="cellIs" dxfId="32" priority="36" operator="equal">
      <formula>$Z$194</formula>
    </cfRule>
  </conditionalFormatting>
  <conditionalFormatting sqref="Q195:Z195">
    <cfRule type="cellIs" dxfId="31" priority="35" operator="equal">
      <formula>$Z$195</formula>
    </cfRule>
  </conditionalFormatting>
  <conditionalFormatting sqref="Q196:Z196">
    <cfRule type="cellIs" dxfId="30" priority="34" operator="equal">
      <formula>$Z$196</formula>
    </cfRule>
  </conditionalFormatting>
  <conditionalFormatting sqref="Q197:Z197">
    <cfRule type="cellIs" dxfId="29" priority="33" operator="equal">
      <formula>$Z$197</formula>
    </cfRule>
  </conditionalFormatting>
  <conditionalFormatting sqref="Q198:Z198">
    <cfRule type="cellIs" dxfId="28" priority="32" operator="equal">
      <formula>$Z$198</formula>
    </cfRule>
  </conditionalFormatting>
  <conditionalFormatting sqref="Q199:Z199">
    <cfRule type="cellIs" dxfId="27" priority="31" operator="equal">
      <formula>$Z$199</formula>
    </cfRule>
  </conditionalFormatting>
  <conditionalFormatting sqref="Q200:Z200">
    <cfRule type="cellIs" dxfId="26" priority="30" operator="equal">
      <formula>$Z$200</formula>
    </cfRule>
  </conditionalFormatting>
  <conditionalFormatting sqref="Q201:Z201">
    <cfRule type="cellIs" dxfId="25" priority="29" operator="equal">
      <formula>$Z$201</formula>
    </cfRule>
  </conditionalFormatting>
  <conditionalFormatting sqref="Q202:Z202">
    <cfRule type="cellIs" dxfId="24" priority="28" operator="equal">
      <formula>$Z$202</formula>
    </cfRule>
  </conditionalFormatting>
  <conditionalFormatting sqref="Q203:Z203">
    <cfRule type="cellIs" dxfId="23" priority="27" operator="equal">
      <formula>$Z$203</formula>
    </cfRule>
  </conditionalFormatting>
  <conditionalFormatting sqref="Q204:Z204">
    <cfRule type="cellIs" dxfId="22" priority="26" operator="equal">
      <formula>$Z$204</formula>
    </cfRule>
  </conditionalFormatting>
  <conditionalFormatting sqref="Q205:Z205">
    <cfRule type="cellIs" dxfId="21" priority="25" operator="equal">
      <formula>$Z$205</formula>
    </cfRule>
  </conditionalFormatting>
  <conditionalFormatting sqref="Q206:Z206">
    <cfRule type="cellIs" dxfId="20" priority="24" operator="equal">
      <formula>$Z$206</formula>
    </cfRule>
  </conditionalFormatting>
  <conditionalFormatting sqref="Q207:Z207">
    <cfRule type="cellIs" dxfId="19" priority="23" operator="equal">
      <formula>$Z$207</formula>
    </cfRule>
  </conditionalFormatting>
  <conditionalFormatting sqref="Q208:Z208">
    <cfRule type="cellIs" dxfId="18" priority="22" operator="equal">
      <formula>$Z$208</formula>
    </cfRule>
  </conditionalFormatting>
  <conditionalFormatting sqref="Q210:Z210">
    <cfRule type="cellIs" dxfId="17" priority="21" operator="equal">
      <formula>$Z$210</formula>
    </cfRule>
  </conditionalFormatting>
  <conditionalFormatting sqref="Q209:Z209">
    <cfRule type="cellIs" dxfId="16" priority="20" operator="equal">
      <formula>$Z$209</formula>
    </cfRule>
  </conditionalFormatting>
  <conditionalFormatting sqref="Q212:Z212">
    <cfRule type="cellIs" dxfId="15" priority="19" operator="equal">
      <formula>$Z$212</formula>
    </cfRule>
  </conditionalFormatting>
  <conditionalFormatting sqref="Q211:Z211">
    <cfRule type="cellIs" dxfId="14" priority="18" operator="equal">
      <formula>$Z$211</formula>
    </cfRule>
  </conditionalFormatting>
  <conditionalFormatting sqref="Q214:Z214">
    <cfRule type="cellIs" dxfId="13" priority="17" operator="equal">
      <formula>$Z$214</formula>
    </cfRule>
  </conditionalFormatting>
  <conditionalFormatting sqref="Q213:Z213">
    <cfRule type="cellIs" dxfId="12" priority="16" operator="equal">
      <formula>$Z$213</formula>
    </cfRule>
  </conditionalFormatting>
  <conditionalFormatting sqref="Q215:Z215">
    <cfRule type="cellIs" dxfId="11" priority="15" operator="equal">
      <formula>$Z$215</formula>
    </cfRule>
  </conditionalFormatting>
  <conditionalFormatting sqref="AP136:AP215">
    <cfRule type="cellIs" dxfId="10" priority="2" operator="greaterThan">
      <formula>$G$127</formula>
    </cfRule>
  </conditionalFormatting>
  <conditionalFormatting sqref="AQ136:AQ215">
    <cfRule type="cellIs" dxfId="9" priority="1" operator="greaterThan">
      <formula>$G$126</formula>
    </cfRule>
  </conditionalFormatting>
  <dataValidations disablePrompts="1" count="3">
    <dataValidation type="list" allowBlank="1" showInputMessage="1" showErrorMessage="1" sqref="C5:C7 C9:C11 C2 F2 W3 AB9 AK7:AK8 AH4:AH5" xr:uid="{00000000-0002-0000-0000-000000000000}">
      <formula1>Units</formula1>
    </dataValidation>
    <dataValidation type="list" allowBlank="1" showInputMessage="1" showErrorMessage="1" sqref="F4 F9 F11" xr:uid="{00000000-0002-0000-0000-000001000000}">
      <formula1>rates</formula1>
    </dataValidation>
    <dataValidation type="list" allowBlank="1" showInputMessage="1" showErrorMessage="1" sqref="F12" xr:uid="{00000000-0002-0000-0000-000002000000}">
      <formula1>angle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4" name="Button 40">
              <controlPr defaultSize="0" print="0" autoFill="0" autoPict="0" macro="[0]!VBA_Clear_Contents_Range">
                <anchor moveWithCells="1" sizeWithCells="1">
                  <from>
                    <xdr:col>9</xdr:col>
                    <xdr:colOff>254000</xdr:colOff>
                    <xdr:row>3</xdr:row>
                    <xdr:rowOff>25400</xdr:rowOff>
                  </from>
                  <to>
                    <xdr:col>11</xdr:col>
                    <xdr:colOff>228600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Button 42">
              <controlPr defaultSize="0" print="0" autoFill="0" autoPict="0" macro="[0]!WellTrajectoryButton">
                <anchor moveWithCells="1" sizeWithCells="1">
                  <from>
                    <xdr:col>6</xdr:col>
                    <xdr:colOff>825500</xdr:colOff>
                    <xdr:row>3</xdr:row>
                    <xdr:rowOff>25400</xdr:rowOff>
                  </from>
                  <to>
                    <xdr:col>8</xdr:col>
                    <xdr:colOff>825500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6" name="Button 45">
              <controlPr defaultSize="0" print="0" autoFill="0" autoPict="0" macro="[0]!VBA_ClearContents_DragTorque">
                <anchor moveWithCells="1" sizeWithCells="1">
                  <from>
                    <xdr:col>38</xdr:col>
                    <xdr:colOff>25400</xdr:colOff>
                    <xdr:row>7</xdr:row>
                    <xdr:rowOff>25400</xdr:rowOff>
                  </from>
                  <to>
                    <xdr:col>40</xdr:col>
                    <xdr:colOff>1206500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DragTorque">
                <anchor moveWithCells="1" sizeWithCells="1">
                  <from>
                    <xdr:col>38</xdr:col>
                    <xdr:colOff>25400</xdr:colOff>
                    <xdr:row>2</xdr:row>
                    <xdr:rowOff>63500</xdr:rowOff>
                  </from>
                  <to>
                    <xdr:col>40</xdr:col>
                    <xdr:colOff>1206500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8" name="Button 54">
              <controlPr defaultSize="0" print="0" autoFill="0" autoPict="0" macro="[0]!MasterCode">
                <anchor moveWithCells="1">
                  <from>
                    <xdr:col>0</xdr:col>
                    <xdr:colOff>0</xdr:colOff>
                    <xdr:row>11</xdr:row>
                    <xdr:rowOff>25400</xdr:rowOff>
                  </from>
                  <to>
                    <xdr:col>2</xdr:col>
                    <xdr:colOff>330200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C63588F2-F941-4F08-8A94-240354F46FB8}">
            <xm:f>NOT(ISERROR(SEARCH($B$121,AC135)))</xm:f>
            <xm:f>$B$121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" operator="containsText" id="{04417250-ECED-4DE1-8695-110D37C29360}">
            <xm:f>NOT(ISERROR(SEARCH($B$120,AC135)))</xm:f>
            <xm:f>$B$120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5" operator="containsText" id="{BD962AAB-0ADF-4AA7-BC2D-E892D31D1F89}">
            <xm:f>NOT(ISERROR(SEARCH($B$119,AC135)))</xm:f>
            <xm:f>$B$119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6" operator="containsText" id="{54068E65-614A-4472-AACE-3481632AC345}">
            <xm:f>NOT(ISERROR(SEARCH($B$118,AC135)))</xm:f>
            <xm:f>$B$118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7" operator="containsText" id="{9F3376C8-A44C-41D4-89C6-8570ED31240A}">
            <xm:f>NOT(ISERROR(SEARCH($B$117,AC135)))</xm:f>
            <xm:f>$B$117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8" operator="containsText" id="{2D6AE96F-39DF-4EB2-A3B7-8E3B832CAD01}">
            <xm:f>NOT(ISERROR(SEARCH($B$116,AC135)))</xm:f>
            <xm:f>$B$116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9" operator="containsText" id="{35CFD142-5F52-4742-A0EB-A2E352FE9F7A}">
            <xm:f>NOT(ISERROR(SEARCH($B$115,AC135)))</xm:f>
            <xm:f>$B$115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0" operator="containsText" id="{646D4F02-8593-4401-B2D1-3D645A864D5F}">
            <xm:f>NOT(ISERROR(SEARCH($B$114,AC135)))</xm:f>
            <xm:f>$B$114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1" operator="containsText" id="{5DDCDB47-4DE6-44A8-91E0-B7A713853242}">
            <xm:f>NOT(ISERROR(SEARCH($B$113,AC135)))</xm:f>
            <xm:f>$B$113</xm:f>
            <x14:dxf>
              <fill>
                <patternFill>
                  <bgColor theme="7" tint="0.79998168889431442"/>
                </patternFill>
              </fill>
            </x14:dxf>
          </x14:cfRule>
          <xm:sqref>AC135:AK215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00000000-0002-0000-0000-000003000000}">
          <x14:formula1>
            <xm:f>Extra!$A$1:$A$8</xm:f>
          </x14:formula1>
          <xm:sqref>A1</xm:sqref>
        </x14:dataValidation>
        <x14:dataValidation type="list" allowBlank="1" showInputMessage="1" showErrorMessage="1" xr:uid="{00000000-0002-0000-0000-000004000000}">
          <x14:formula1>
            <xm:f>Extra!$I$1:$I$2</xm:f>
          </x14:formula1>
          <xm:sqref>AH9 AH11</xm:sqref>
        </x14:dataValidation>
        <x14:dataValidation type="list" allowBlank="1" showInputMessage="1" showErrorMessage="1" xr:uid="{00000000-0002-0000-0000-000005000000}">
          <x14:formula1>
            <xm:f>Extra!$I$3:$I$4</xm:f>
          </x14:formula1>
          <xm:sqref>AH10</xm:sqref>
        </x14:dataValidation>
        <x14:dataValidation type="list" allowBlank="1" showInputMessage="1" showErrorMessage="1" xr:uid="{00000000-0002-0000-0000-000006000000}">
          <x14:formula1>
            <xm:f>Extra!$K$1:$K$2</xm:f>
          </x14:formula1>
          <xm:sqref>AK6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L63"/>
  <sheetViews>
    <sheetView workbookViewId="0">
      <selection activeCell="K4" sqref="K4"/>
    </sheetView>
  </sheetViews>
  <sheetFormatPr baseColWidth="10" defaultColWidth="8.83203125" defaultRowHeight="15"/>
  <cols>
    <col min="2" max="2" width="8.5" bestFit="1" customWidth="1"/>
    <col min="3" max="3" width="12.1640625" bestFit="1" customWidth="1"/>
    <col min="4" max="4" width="16.33203125" bestFit="1" customWidth="1"/>
  </cols>
  <sheetData>
    <row r="1" spans="1:12" ht="16" thickBot="1">
      <c r="A1" s="308" t="s">
        <v>0</v>
      </c>
      <c r="B1" s="309"/>
      <c r="C1" s="310"/>
      <c r="E1" s="305" t="s">
        <v>126</v>
      </c>
      <c r="F1" s="306"/>
      <c r="G1" s="306"/>
      <c r="H1" s="307"/>
    </row>
    <row r="2" spans="1:12" ht="16" thickBot="1">
      <c r="A2" s="311" t="s">
        <v>138</v>
      </c>
      <c r="B2" s="311"/>
      <c r="C2" s="311"/>
      <c r="E2" s="34" t="s">
        <v>130</v>
      </c>
      <c r="F2" s="10" t="s">
        <v>128</v>
      </c>
      <c r="G2" s="35" t="s">
        <v>129</v>
      </c>
      <c r="H2" s="11" t="s">
        <v>127</v>
      </c>
    </row>
    <row r="3" spans="1:12" ht="16" thickBot="1"/>
    <row r="4" spans="1:12" ht="16" thickBot="1">
      <c r="B4" s="2" t="s">
        <v>79</v>
      </c>
      <c r="C4" s="3" t="s">
        <v>51</v>
      </c>
      <c r="D4" s="3" t="s">
        <v>78</v>
      </c>
      <c r="E4" s="4" t="s">
        <v>80</v>
      </c>
      <c r="F4" s="4" t="s">
        <v>87</v>
      </c>
      <c r="G4" s="4" t="s">
        <v>84</v>
      </c>
      <c r="H4" s="4" t="s">
        <v>85</v>
      </c>
      <c r="I4" s="4" t="s">
        <v>86</v>
      </c>
      <c r="J4" s="4" t="s">
        <v>81</v>
      </c>
      <c r="K4" s="4" t="s">
        <v>82</v>
      </c>
      <c r="L4" s="5" t="s">
        <v>83</v>
      </c>
    </row>
    <row r="5" spans="1:12">
      <c r="B5" s="6">
        <v>646</v>
      </c>
      <c r="C5" s="7">
        <v>3</v>
      </c>
      <c r="D5" s="7" t="s">
        <v>88</v>
      </c>
      <c r="E5" s="9">
        <v>240</v>
      </c>
      <c r="F5" s="9">
        <v>646</v>
      </c>
      <c r="G5" s="9">
        <v>-16.912301995917272</v>
      </c>
      <c r="H5" s="9">
        <v>-29.272105707768777</v>
      </c>
      <c r="I5" s="9">
        <v>645.11480983514252</v>
      </c>
      <c r="J5" s="9">
        <v>-16.912301995917272</v>
      </c>
      <c r="K5" s="9">
        <v>-29.272105707768777</v>
      </c>
      <c r="L5" s="9">
        <v>645.11480983514252</v>
      </c>
    </row>
    <row r="6" spans="1:12">
      <c r="B6" s="7">
        <v>955</v>
      </c>
      <c r="C6" s="7">
        <v>1</v>
      </c>
      <c r="D6" s="7" t="s">
        <v>89</v>
      </c>
      <c r="E6" s="9">
        <v>241</v>
      </c>
      <c r="F6" s="9">
        <v>309</v>
      </c>
      <c r="G6" s="9">
        <v>-2.6157467131321992</v>
      </c>
      <c r="H6" s="9">
        <v>-4.7154860048392582</v>
      </c>
      <c r="I6" s="9">
        <v>308.95294473571681</v>
      </c>
      <c r="J6" s="9">
        <v>-19.528048709049472</v>
      </c>
      <c r="K6" s="9">
        <v>-33.987591712608037</v>
      </c>
      <c r="L6" s="9">
        <v>954.06775457085928</v>
      </c>
    </row>
    <row r="7" spans="1:12">
      <c r="B7" s="8">
        <v>1206</v>
      </c>
      <c r="C7" s="7">
        <v>1</v>
      </c>
      <c r="D7" s="7" t="s">
        <v>90</v>
      </c>
      <c r="E7" s="9">
        <v>251</v>
      </c>
      <c r="F7" s="9">
        <v>251</v>
      </c>
      <c r="G7" s="9">
        <v>-1.42740014520196</v>
      </c>
      <c r="H7" s="9">
        <v>-4.1411297849130184</v>
      </c>
      <c r="I7" s="9">
        <v>250.96177711542046</v>
      </c>
      <c r="J7" s="9">
        <v>-20.955448854251433</v>
      </c>
      <c r="K7" s="9">
        <v>-38.128721497521056</v>
      </c>
      <c r="L7" s="9">
        <v>1205.0295316862798</v>
      </c>
    </row>
    <row r="8" spans="1:12">
      <c r="B8" s="8">
        <v>1468</v>
      </c>
      <c r="C8" s="7">
        <v>0.5</v>
      </c>
      <c r="D8" s="7" t="s">
        <v>88</v>
      </c>
      <c r="E8" s="9">
        <v>240</v>
      </c>
      <c r="F8" s="9">
        <v>262</v>
      </c>
      <c r="G8" s="9">
        <v>-1.1437027515545386</v>
      </c>
      <c r="H8" s="9">
        <v>-1.9795405646051256</v>
      </c>
      <c r="I8" s="9">
        <v>261.99002531235647</v>
      </c>
      <c r="J8" s="9">
        <v>-22.099151605805972</v>
      </c>
      <c r="K8" s="9">
        <v>-40.10826206212618</v>
      </c>
      <c r="L8" s="9">
        <v>1467.0195569986363</v>
      </c>
    </row>
    <row r="9" spans="1:12">
      <c r="B9" s="8">
        <v>1963</v>
      </c>
      <c r="C9" s="7">
        <v>0.25</v>
      </c>
      <c r="D9" s="7" t="s">
        <v>91</v>
      </c>
      <c r="E9" s="9">
        <v>164</v>
      </c>
      <c r="F9" s="9">
        <v>495</v>
      </c>
      <c r="G9" s="9">
        <v>-2.0758911599431014</v>
      </c>
      <c r="H9" s="9">
        <v>0.59572588236753132</v>
      </c>
      <c r="I9" s="9">
        <v>494.99528865087711</v>
      </c>
      <c r="J9" s="9">
        <v>-24.175042765749073</v>
      </c>
      <c r="K9" s="9">
        <v>-39.512536179758648</v>
      </c>
      <c r="L9" s="9">
        <v>1962.0148456495135</v>
      </c>
    </row>
    <row r="10" spans="1:12">
      <c r="B10" s="8">
        <v>2429</v>
      </c>
      <c r="C10" s="7">
        <v>0.25</v>
      </c>
      <c r="D10" s="7" t="s">
        <v>92</v>
      </c>
      <c r="E10" s="9">
        <v>45</v>
      </c>
      <c r="F10" s="9">
        <v>466</v>
      </c>
      <c r="G10" s="9">
        <v>1.4377389878484574</v>
      </c>
      <c r="H10" s="9">
        <v>1.4375726531937654</v>
      </c>
      <c r="I10" s="9">
        <v>465.99556466931057</v>
      </c>
      <c r="J10" s="9">
        <v>-22.737303777900614</v>
      </c>
      <c r="K10" s="9">
        <v>-38.074963526564879</v>
      </c>
      <c r="L10" s="9">
        <v>2428.0104103188241</v>
      </c>
    </row>
    <row r="11" spans="1:12">
      <c r="B11" s="8">
        <v>2861</v>
      </c>
      <c r="C11" s="7">
        <v>0.25</v>
      </c>
      <c r="D11" s="7" t="s">
        <v>93</v>
      </c>
      <c r="E11" s="9">
        <v>338</v>
      </c>
      <c r="F11" s="9">
        <v>432</v>
      </c>
      <c r="G11" s="9">
        <v>1.7472591608923698</v>
      </c>
      <c r="H11" s="9">
        <v>-0.70682181549493395</v>
      </c>
      <c r="I11" s="9">
        <v>431.9958882771291</v>
      </c>
      <c r="J11" s="9">
        <v>-20.990044617008245</v>
      </c>
      <c r="K11" s="9">
        <v>-38.781785342059813</v>
      </c>
      <c r="L11" s="9">
        <v>2860.006298595953</v>
      </c>
    </row>
    <row r="12" spans="1:12">
      <c r="B12" s="8">
        <v>2959</v>
      </c>
      <c r="C12" s="7">
        <v>2</v>
      </c>
      <c r="D12" s="7" t="s">
        <v>94</v>
      </c>
      <c r="E12" s="9">
        <v>200</v>
      </c>
      <c r="F12" s="9">
        <v>98</v>
      </c>
      <c r="G12" s="9">
        <v>-3.2139543531455903</v>
      </c>
      <c r="H12" s="9">
        <v>-1.1688480056666579</v>
      </c>
      <c r="I12" s="9">
        <v>97.940309841022781</v>
      </c>
      <c r="J12" s="9">
        <v>-24.203998970153833</v>
      </c>
      <c r="K12" s="9">
        <v>-39.950633347726473</v>
      </c>
      <c r="L12" s="9">
        <v>2957.946608436976</v>
      </c>
    </row>
    <row r="13" spans="1:12">
      <c r="B13" s="8">
        <v>3057</v>
      </c>
      <c r="C13" s="7">
        <v>2.25</v>
      </c>
      <c r="D13" s="7" t="s">
        <v>94</v>
      </c>
      <c r="E13" s="9">
        <v>200</v>
      </c>
      <c r="F13" s="9">
        <v>98</v>
      </c>
      <c r="G13" s="9">
        <v>-3.6155036229026316</v>
      </c>
      <c r="H13" s="9">
        <v>-1.3148830800830242</v>
      </c>
      <c r="I13" s="9">
        <v>97.924456679822782</v>
      </c>
      <c r="J13" s="9">
        <v>-27.819502593056466</v>
      </c>
      <c r="K13" s="9">
        <v>-41.265516427809494</v>
      </c>
      <c r="L13" s="9">
        <v>3055.8710651167989</v>
      </c>
    </row>
    <row r="14" spans="1:12">
      <c r="B14" s="8">
        <v>3155</v>
      </c>
      <c r="C14" s="7">
        <v>4.75</v>
      </c>
      <c r="D14" s="7" t="s">
        <v>95</v>
      </c>
      <c r="E14" s="9">
        <v>195</v>
      </c>
      <c r="F14" s="9">
        <v>98</v>
      </c>
      <c r="G14" s="9">
        <v>-7.8386356470939225</v>
      </c>
      <c r="H14" s="9">
        <v>-2.0982501626384793</v>
      </c>
      <c r="I14" s="9">
        <v>97.663468796920668</v>
      </c>
      <c r="J14" s="9">
        <v>-35.658138240150386</v>
      </c>
      <c r="K14" s="9">
        <v>-43.363766590447973</v>
      </c>
      <c r="L14" s="9">
        <v>3153.5345339137198</v>
      </c>
    </row>
    <row r="15" spans="1:12">
      <c r="B15" s="8">
        <v>3253</v>
      </c>
      <c r="C15" s="7">
        <v>6.75</v>
      </c>
      <c r="D15" s="7" t="s">
        <v>94</v>
      </c>
      <c r="E15" s="9">
        <v>200</v>
      </c>
      <c r="F15" s="9">
        <v>98</v>
      </c>
      <c r="G15" s="9">
        <v>-10.824223368485221</v>
      </c>
      <c r="H15" s="9">
        <v>-3.9365437423719571</v>
      </c>
      <c r="I15" s="9">
        <v>97.320808729857617</v>
      </c>
      <c r="J15" s="9">
        <v>-46.482361608635607</v>
      </c>
      <c r="K15" s="9">
        <v>-47.300310332819933</v>
      </c>
      <c r="L15" s="9">
        <v>3250.8553426435774</v>
      </c>
    </row>
    <row r="16" spans="1:12">
      <c r="B16" s="8">
        <v>3322</v>
      </c>
      <c r="C16" s="7">
        <v>7.25</v>
      </c>
      <c r="D16" s="7" t="s">
        <v>96</v>
      </c>
      <c r="E16" s="9">
        <v>197</v>
      </c>
      <c r="F16" s="9">
        <v>69</v>
      </c>
      <c r="G16" s="9">
        <v>-8.3272768943143074</v>
      </c>
      <c r="H16" s="9">
        <v>-2.5435982042626097</v>
      </c>
      <c r="I16" s="9">
        <v>68.448422682343022</v>
      </c>
      <c r="J16" s="9">
        <v>-54.809638502949916</v>
      </c>
      <c r="K16" s="9">
        <v>-49.843908537082541</v>
      </c>
      <c r="L16" s="9">
        <v>3319.3037653259203</v>
      </c>
    </row>
    <row r="17" spans="2:12">
      <c r="B17" s="8">
        <v>3420</v>
      </c>
      <c r="C17" s="7">
        <v>8.5</v>
      </c>
      <c r="D17" s="7" t="s">
        <v>97</v>
      </c>
      <c r="E17" s="9">
        <v>205</v>
      </c>
      <c r="F17" s="9">
        <v>98</v>
      </c>
      <c r="G17" s="9">
        <v>-13.128813253823358</v>
      </c>
      <c r="H17" s="9">
        <v>-6.1178544392008227</v>
      </c>
      <c r="I17" s="9">
        <v>96.923712885995982</v>
      </c>
      <c r="J17" s="9">
        <v>-67.938451756773276</v>
      </c>
      <c r="K17" s="9">
        <v>-55.961762976283367</v>
      </c>
      <c r="L17" s="9">
        <v>3416.2274782119162</v>
      </c>
    </row>
    <row r="18" spans="2:12">
      <c r="B18" s="8">
        <v>3518</v>
      </c>
      <c r="C18" s="7">
        <v>10.5</v>
      </c>
      <c r="D18" s="7" t="s">
        <v>97</v>
      </c>
      <c r="E18" s="9">
        <v>205</v>
      </c>
      <c r="F18" s="9">
        <v>98</v>
      </c>
      <c r="G18" s="9">
        <v>-16.186634170175299</v>
      </c>
      <c r="H18" s="9">
        <v>-7.5427588007536022</v>
      </c>
      <c r="I18" s="9">
        <v>96.359221997246152</v>
      </c>
      <c r="J18" s="9">
        <v>-84.125085926948572</v>
      </c>
      <c r="K18" s="9">
        <v>-63.50452177703697</v>
      </c>
      <c r="L18" s="9">
        <v>3512.5867002091622</v>
      </c>
    </row>
    <row r="19" spans="2:12">
      <c r="B19" s="8">
        <v>3616</v>
      </c>
      <c r="C19" s="7">
        <v>12.5</v>
      </c>
      <c r="D19" s="7" t="s">
        <v>98</v>
      </c>
      <c r="E19" s="9">
        <v>203</v>
      </c>
      <c r="F19" s="9">
        <v>98</v>
      </c>
      <c r="G19" s="9">
        <v>-19.525650849191013</v>
      </c>
      <c r="H19" s="9">
        <v>-8.2821341193227944</v>
      </c>
      <c r="I19" s="9">
        <v>95.677349531354793</v>
      </c>
      <c r="J19" s="9">
        <v>-103.65073677613958</v>
      </c>
      <c r="K19" s="9">
        <v>-71.786655896359761</v>
      </c>
      <c r="L19" s="9">
        <v>3608.2640497405168</v>
      </c>
    </row>
    <row r="20" spans="2:12">
      <c r="B20" s="8">
        <v>3714</v>
      </c>
      <c r="C20" s="7">
        <v>14</v>
      </c>
      <c r="D20" s="7" t="s">
        <v>99</v>
      </c>
      <c r="E20" s="9">
        <v>202</v>
      </c>
      <c r="F20" s="9">
        <v>98</v>
      </c>
      <c r="G20" s="9">
        <v>-21.98271403783577</v>
      </c>
      <c r="H20" s="9">
        <v>-8.8749534047588465</v>
      </c>
      <c r="I20" s="9">
        <v>95.089407851737604</v>
      </c>
      <c r="J20" s="9">
        <v>-125.63345081397534</v>
      </c>
      <c r="K20" s="9">
        <v>-80.661609301118602</v>
      </c>
      <c r="L20" s="9">
        <v>3703.3534575922545</v>
      </c>
    </row>
    <row r="21" spans="2:12">
      <c r="B21" s="8">
        <v>3812</v>
      </c>
      <c r="C21" s="7">
        <v>15.5</v>
      </c>
      <c r="D21" s="7" t="s">
        <v>100</v>
      </c>
      <c r="E21" s="9">
        <v>199</v>
      </c>
      <c r="F21" s="9">
        <v>98</v>
      </c>
      <c r="G21" s="9">
        <v>-24.762928253521753</v>
      </c>
      <c r="H21" s="9">
        <v>-8.5194746222372828</v>
      </c>
      <c r="I21" s="9">
        <v>94.436306241148529</v>
      </c>
      <c r="J21" s="9">
        <v>-150.39637906749709</v>
      </c>
      <c r="K21" s="9">
        <v>-89.181083923355885</v>
      </c>
      <c r="L21" s="9">
        <v>3797.789763833403</v>
      </c>
    </row>
    <row r="22" spans="2:12">
      <c r="B22" s="8">
        <v>3910</v>
      </c>
      <c r="C22" s="7">
        <v>17.5</v>
      </c>
      <c r="D22" s="7" t="s">
        <v>94</v>
      </c>
      <c r="E22" s="9">
        <v>200</v>
      </c>
      <c r="F22" s="9">
        <v>98</v>
      </c>
      <c r="G22" s="9">
        <v>-27.692574482292546</v>
      </c>
      <c r="H22" s="9">
        <v>-10.071210384093703</v>
      </c>
      <c r="I22" s="9">
        <v>93.464924115638183</v>
      </c>
      <c r="J22" s="9">
        <v>-178.08895354978964</v>
      </c>
      <c r="K22" s="9">
        <v>-99.252294307449588</v>
      </c>
      <c r="L22" s="9">
        <v>3891.254687949041</v>
      </c>
    </row>
    <row r="23" spans="2:12">
      <c r="B23" s="8">
        <v>4008</v>
      </c>
      <c r="C23" s="7">
        <v>20</v>
      </c>
      <c r="D23" s="7" t="s">
        <v>100</v>
      </c>
      <c r="E23" s="9">
        <v>199</v>
      </c>
      <c r="F23" s="9">
        <v>98</v>
      </c>
      <c r="G23" s="9">
        <v>-31.69241875649433</v>
      </c>
      <c r="H23" s="9">
        <v>-10.903506828796422</v>
      </c>
      <c r="I23" s="9">
        <v>92.090738579932108</v>
      </c>
      <c r="J23" s="9">
        <v>-209.78137230628397</v>
      </c>
      <c r="K23" s="9">
        <v>-110.15580113624601</v>
      </c>
      <c r="L23" s="9">
        <v>3983.3454265289729</v>
      </c>
    </row>
    <row r="24" spans="2:12">
      <c r="B24" s="8">
        <v>4157</v>
      </c>
      <c r="C24" s="7">
        <v>20</v>
      </c>
      <c r="D24" s="7" t="s">
        <v>101</v>
      </c>
      <c r="E24" s="9">
        <v>201</v>
      </c>
      <c r="F24" s="9">
        <v>149</v>
      </c>
      <c r="G24" s="9">
        <v>-47.577549654070815</v>
      </c>
      <c r="H24" s="9">
        <v>-18.249206362904104</v>
      </c>
      <c r="I24" s="9">
        <v>140.01551069806004</v>
      </c>
      <c r="J24" s="9">
        <v>-257.35892196035479</v>
      </c>
      <c r="K24" s="9">
        <v>-128.40500749915012</v>
      </c>
      <c r="L24" s="9">
        <v>4123.360937227033</v>
      </c>
    </row>
    <row r="25" spans="2:12">
      <c r="B25" s="8">
        <v>4157</v>
      </c>
      <c r="C25" s="7">
        <v>20</v>
      </c>
      <c r="D25" s="7" t="s">
        <v>101</v>
      </c>
      <c r="E25" s="9">
        <v>201</v>
      </c>
      <c r="F25" s="9">
        <v>0</v>
      </c>
      <c r="G25" s="9">
        <v>0</v>
      </c>
      <c r="H25" s="9">
        <v>0</v>
      </c>
      <c r="I25" s="9">
        <v>0</v>
      </c>
      <c r="J25" s="9">
        <v>-257.35892196035479</v>
      </c>
      <c r="K25" s="9">
        <v>-128.40500749915012</v>
      </c>
      <c r="L25" s="9">
        <v>4123.360937227033</v>
      </c>
    </row>
    <row r="26" spans="2:12">
      <c r="B26" s="8">
        <v>4281</v>
      </c>
      <c r="C26" s="7">
        <v>20</v>
      </c>
      <c r="D26" s="7" t="s">
        <v>101</v>
      </c>
      <c r="E26" s="9">
        <v>201</v>
      </c>
      <c r="F26" s="9">
        <v>124</v>
      </c>
      <c r="G26" s="9">
        <v>-39.594739309428057</v>
      </c>
      <c r="H26" s="9">
        <v>-15.187258986577913</v>
      </c>
      <c r="I26" s="9">
        <v>116.52297534603655</v>
      </c>
      <c r="J26" s="9">
        <v>-296.95366126978286</v>
      </c>
      <c r="K26" s="9">
        <v>-143.59226648572803</v>
      </c>
      <c r="L26" s="9">
        <v>4239.8839125730692</v>
      </c>
    </row>
    <row r="27" spans="2:12">
      <c r="B27" s="8">
        <v>4404</v>
      </c>
      <c r="C27" s="7">
        <v>19.75</v>
      </c>
      <c r="D27" s="7" t="s">
        <v>99</v>
      </c>
      <c r="E27" s="9">
        <v>202</v>
      </c>
      <c r="F27" s="9">
        <v>123</v>
      </c>
      <c r="G27" s="9">
        <v>-38.538560233709546</v>
      </c>
      <c r="H27" s="9">
        <v>-15.558948989282197</v>
      </c>
      <c r="I27" s="9">
        <v>115.76570511797375</v>
      </c>
      <c r="J27" s="9">
        <v>-335.49222150349237</v>
      </c>
      <c r="K27" s="9">
        <v>-159.15121547501022</v>
      </c>
      <c r="L27" s="9">
        <v>4355.6496176910432</v>
      </c>
    </row>
    <row r="28" spans="2:12">
      <c r="B28" s="8">
        <v>4528</v>
      </c>
      <c r="C28" s="7">
        <v>19.25</v>
      </c>
      <c r="D28" s="7" t="s">
        <v>98</v>
      </c>
      <c r="E28" s="9">
        <v>203</v>
      </c>
      <c r="F28" s="9">
        <v>124</v>
      </c>
      <c r="G28" s="9">
        <v>-37.63324831989889</v>
      </c>
      <c r="H28" s="9">
        <v>-15.962776981853875</v>
      </c>
      <c r="I28" s="9">
        <v>117.06805017561548</v>
      </c>
      <c r="J28" s="9">
        <v>-373.12546982339126</v>
      </c>
      <c r="K28" s="9">
        <v>-175.11399245686408</v>
      </c>
      <c r="L28" s="9">
        <v>4472.7176678666583</v>
      </c>
    </row>
    <row r="29" spans="2:12">
      <c r="B29" s="8">
        <v>4649</v>
      </c>
      <c r="C29" s="7">
        <v>19.5</v>
      </c>
      <c r="D29" s="7" t="s">
        <v>102</v>
      </c>
      <c r="E29" s="9">
        <v>204</v>
      </c>
      <c r="F29" s="9">
        <v>121</v>
      </c>
      <c r="G29" s="9">
        <v>-36.900371233788832</v>
      </c>
      <c r="H29" s="9">
        <v>-16.417509721363825</v>
      </c>
      <c r="I29" s="9">
        <v>114.06063289916243</v>
      </c>
      <c r="J29" s="9">
        <v>-410.02584105718006</v>
      </c>
      <c r="K29" s="9">
        <v>-191.5315021782279</v>
      </c>
      <c r="L29" s="9">
        <v>4586.7783007658209</v>
      </c>
    </row>
    <row r="30" spans="2:12">
      <c r="B30" s="8">
        <v>4771</v>
      </c>
      <c r="C30" s="7">
        <v>19.75</v>
      </c>
      <c r="D30" s="7" t="s">
        <v>97</v>
      </c>
      <c r="E30" s="9">
        <v>205</v>
      </c>
      <c r="F30" s="9">
        <v>122</v>
      </c>
      <c r="G30" s="9">
        <v>-37.365247185906661</v>
      </c>
      <c r="H30" s="9">
        <v>-17.411714139628263</v>
      </c>
      <c r="I30" s="9">
        <v>114.82452052351869</v>
      </c>
      <c r="J30" s="9">
        <v>-447.3910882430867</v>
      </c>
      <c r="K30" s="9">
        <v>-208.94321631785616</v>
      </c>
      <c r="L30" s="9">
        <v>4701.6028212893398</v>
      </c>
    </row>
    <row r="31" spans="2:12">
      <c r="B31" s="8">
        <v>4891</v>
      </c>
      <c r="C31" s="7">
        <v>20.75</v>
      </c>
      <c r="D31" s="7" t="s">
        <v>103</v>
      </c>
      <c r="E31" s="9">
        <v>207</v>
      </c>
      <c r="F31" s="9">
        <v>120</v>
      </c>
      <c r="G31" s="9">
        <v>-37.883542560304363</v>
      </c>
      <c r="H31" s="9">
        <v>-19.289932505366831</v>
      </c>
      <c r="I31" s="9">
        <v>112.21735920533862</v>
      </c>
      <c r="J31" s="9">
        <v>-485.27463080339106</v>
      </c>
      <c r="K31" s="9">
        <v>-228.23314882322299</v>
      </c>
      <c r="L31" s="9">
        <v>4813.8201804946784</v>
      </c>
    </row>
    <row r="32" spans="2:12">
      <c r="B32" s="8">
        <v>5018</v>
      </c>
      <c r="C32" s="7">
        <v>20.5</v>
      </c>
      <c r="D32" s="7" t="s">
        <v>104</v>
      </c>
      <c r="E32" s="9">
        <v>208</v>
      </c>
      <c r="F32" s="9">
        <v>127</v>
      </c>
      <c r="G32" s="9">
        <v>-39.273088505573597</v>
      </c>
      <c r="H32" s="9">
        <v>-20.868403289700431</v>
      </c>
      <c r="I32" s="9">
        <v>118.95854010272572</v>
      </c>
      <c r="J32" s="9">
        <v>-524.5477193089647</v>
      </c>
      <c r="K32" s="9">
        <v>-249.10155211292343</v>
      </c>
      <c r="L32" s="9">
        <v>4932.7787205974046</v>
      </c>
    </row>
    <row r="33" spans="2:12">
      <c r="B33" s="8">
        <v>5193</v>
      </c>
      <c r="C33" s="7">
        <v>20.75</v>
      </c>
      <c r="D33" s="7" t="s">
        <v>61</v>
      </c>
      <c r="E33" s="9">
        <v>210</v>
      </c>
      <c r="F33" s="9">
        <v>175</v>
      </c>
      <c r="G33" s="9">
        <v>-53.698967811399854</v>
      </c>
      <c r="H33" s="9">
        <v>-30.983787537880179</v>
      </c>
      <c r="I33" s="9">
        <v>163.65031550778551</v>
      </c>
      <c r="J33" s="9">
        <v>-578.24668712036453</v>
      </c>
      <c r="K33" s="9">
        <v>-280.08533965080363</v>
      </c>
      <c r="L33" s="9">
        <v>5096.4290361051899</v>
      </c>
    </row>
    <row r="34" spans="2:12">
      <c r="B34" s="8">
        <v>5368</v>
      </c>
      <c r="C34" s="7">
        <v>22.25</v>
      </c>
      <c r="D34" s="7" t="s">
        <v>60</v>
      </c>
      <c r="E34" s="9">
        <v>211</v>
      </c>
      <c r="F34" s="9">
        <v>175</v>
      </c>
      <c r="G34" s="9">
        <v>-56.804195666187326</v>
      </c>
      <c r="H34" s="9">
        <v>-34.110436692304425</v>
      </c>
      <c r="I34" s="9">
        <v>161.9714834882295</v>
      </c>
      <c r="J34" s="9">
        <v>-635.05088278655182</v>
      </c>
      <c r="K34" s="9">
        <v>-314.19577634310804</v>
      </c>
      <c r="L34" s="9">
        <v>5258.4005195934196</v>
      </c>
    </row>
    <row r="35" spans="2:12">
      <c r="B35" s="8">
        <v>5461</v>
      </c>
      <c r="C35" s="7">
        <v>22</v>
      </c>
      <c r="D35" s="7" t="s">
        <v>105</v>
      </c>
      <c r="E35" s="9">
        <v>212</v>
      </c>
      <c r="F35" s="9">
        <v>93</v>
      </c>
      <c r="G35" s="9">
        <v>-29.547611792912733</v>
      </c>
      <c r="H35" s="9">
        <v>-18.452201914425938</v>
      </c>
      <c r="I35" s="9">
        <v>86.229083735388144</v>
      </c>
      <c r="J35" s="9">
        <v>-664.59849457946461</v>
      </c>
      <c r="K35" s="9">
        <v>-332.64797825753396</v>
      </c>
      <c r="L35" s="9">
        <v>5344.6296033288081</v>
      </c>
    </row>
    <row r="36" spans="2:12">
      <c r="B36" s="8">
        <v>5492</v>
      </c>
      <c r="C36" s="7">
        <v>21.5</v>
      </c>
      <c r="D36" s="7" t="s">
        <v>60</v>
      </c>
      <c r="E36" s="9">
        <v>211</v>
      </c>
      <c r="F36" s="9">
        <v>31</v>
      </c>
      <c r="G36" s="9">
        <v>-9.7396423286608833</v>
      </c>
      <c r="H36" s="9">
        <v>-5.8485724366172374</v>
      </c>
      <c r="I36" s="9">
        <v>28.843258619015263</v>
      </c>
      <c r="J36" s="9">
        <v>-674.33813690812553</v>
      </c>
      <c r="K36" s="9">
        <v>-338.49655069415121</v>
      </c>
      <c r="L36" s="9">
        <v>5373.4728619478237</v>
      </c>
    </row>
    <row r="37" spans="2:12">
      <c r="B37" s="8">
        <v>5592</v>
      </c>
      <c r="C37" s="7">
        <v>20.5</v>
      </c>
      <c r="D37" s="7" t="s">
        <v>106</v>
      </c>
      <c r="E37" s="9">
        <v>213</v>
      </c>
      <c r="F37" s="9">
        <v>100</v>
      </c>
      <c r="G37" s="9">
        <v>-29.374013373242111</v>
      </c>
      <c r="H37" s="9">
        <v>-19.064274117219732</v>
      </c>
      <c r="I37" s="9">
        <v>93.668141813169854</v>
      </c>
      <c r="J37" s="9">
        <v>-703.7121502813676</v>
      </c>
      <c r="K37" s="9">
        <v>-357.56082481137094</v>
      </c>
      <c r="L37" s="9">
        <v>5467.141003760994</v>
      </c>
    </row>
    <row r="38" spans="2:12">
      <c r="B38" s="8">
        <v>5653</v>
      </c>
      <c r="C38" s="7">
        <v>21.5</v>
      </c>
      <c r="D38" s="7" t="s">
        <v>106</v>
      </c>
      <c r="E38" s="9">
        <v>213</v>
      </c>
      <c r="F38" s="9">
        <v>61</v>
      </c>
      <c r="G38" s="9">
        <v>-18.751818871498212</v>
      </c>
      <c r="H38" s="9">
        <v>-12.170274814688643</v>
      </c>
      <c r="I38" s="9">
        <v>56.75608954064294</v>
      </c>
      <c r="J38" s="9">
        <v>-722.46396915286584</v>
      </c>
      <c r="K38" s="9">
        <v>-369.73109962605957</v>
      </c>
      <c r="L38" s="9">
        <v>5523.8970933016371</v>
      </c>
    </row>
    <row r="39" spans="2:12">
      <c r="B39" s="8">
        <v>5718</v>
      </c>
      <c r="C39" s="7">
        <v>21.25</v>
      </c>
      <c r="D39" s="7" t="s">
        <v>106</v>
      </c>
      <c r="E39" s="9">
        <v>213</v>
      </c>
      <c r="F39" s="9">
        <v>65</v>
      </c>
      <c r="G39" s="9">
        <v>-19.7599219187186</v>
      </c>
      <c r="H39" s="9">
        <v>-12.824552205605919</v>
      </c>
      <c r="I39" s="9">
        <v>60.581155044220083</v>
      </c>
      <c r="J39" s="9">
        <v>-742.22389107158449</v>
      </c>
      <c r="K39" s="9">
        <v>-382.5556518316655</v>
      </c>
      <c r="L39" s="9">
        <v>5584.4782483458575</v>
      </c>
    </row>
    <row r="40" spans="2:12">
      <c r="B40" s="8">
        <v>5781</v>
      </c>
      <c r="C40" s="7">
        <v>20</v>
      </c>
      <c r="D40" s="7" t="s">
        <v>107</v>
      </c>
      <c r="E40" s="9">
        <v>214</v>
      </c>
      <c r="F40" s="9">
        <v>63</v>
      </c>
      <c r="G40" s="9">
        <v>-17.865547588380259</v>
      </c>
      <c r="H40" s="9">
        <v>-12.043314329570793</v>
      </c>
      <c r="I40" s="9">
        <v>59.201189087099209</v>
      </c>
      <c r="J40" s="9">
        <v>-760.0894386599648</v>
      </c>
      <c r="K40" s="9">
        <v>-394.59896616123632</v>
      </c>
      <c r="L40" s="9">
        <v>5643.6794374329565</v>
      </c>
    </row>
    <row r="41" spans="2:12">
      <c r="B41" s="8">
        <v>5874</v>
      </c>
      <c r="C41" s="7">
        <v>18</v>
      </c>
      <c r="D41" s="7" t="s">
        <v>108</v>
      </c>
      <c r="E41" s="9">
        <v>217</v>
      </c>
      <c r="F41" s="9">
        <v>93</v>
      </c>
      <c r="G41" s="9">
        <v>-22.954839827844403</v>
      </c>
      <c r="H41" s="9">
        <v>-17.287674900627163</v>
      </c>
      <c r="I41" s="9">
        <v>88.448920994030416</v>
      </c>
      <c r="J41" s="9">
        <v>-783.04427848780915</v>
      </c>
      <c r="K41" s="9">
        <v>-411.88664106186349</v>
      </c>
      <c r="L41" s="9">
        <v>5732.1283584269868</v>
      </c>
    </row>
    <row r="42" spans="2:12">
      <c r="B42" s="8">
        <v>5998</v>
      </c>
      <c r="C42" s="7">
        <v>17</v>
      </c>
      <c r="D42" s="7" t="s">
        <v>109</v>
      </c>
      <c r="E42" s="9">
        <v>215</v>
      </c>
      <c r="F42" s="9">
        <v>124</v>
      </c>
      <c r="G42" s="9">
        <v>-29.701236091470779</v>
      </c>
      <c r="H42" s="9">
        <v>-20.784797750514834</v>
      </c>
      <c r="I42" s="9">
        <v>118.5825820140079</v>
      </c>
      <c r="J42" s="9">
        <v>-812.74551457927998</v>
      </c>
      <c r="K42" s="9">
        <v>-432.67143881237831</v>
      </c>
      <c r="L42" s="9">
        <v>5850.7109404409948</v>
      </c>
    </row>
    <row r="43" spans="2:12">
      <c r="B43" s="8">
        <v>6181</v>
      </c>
      <c r="C43" s="7">
        <v>17.25</v>
      </c>
      <c r="D43" s="7" t="s">
        <v>107</v>
      </c>
      <c r="E43" s="9">
        <v>214</v>
      </c>
      <c r="F43" s="9">
        <v>183</v>
      </c>
      <c r="G43" s="9">
        <v>-44.994604636196776</v>
      </c>
      <c r="H43" s="9">
        <v>-30.331237488680287</v>
      </c>
      <c r="I43" s="9">
        <v>174.7698531956745</v>
      </c>
      <c r="J43" s="9">
        <v>-857.74011921547674</v>
      </c>
      <c r="K43" s="9">
        <v>-463.00267630105861</v>
      </c>
      <c r="L43" s="9">
        <v>6025.4807936366697</v>
      </c>
    </row>
    <row r="44" spans="2:12">
      <c r="B44" s="8">
        <v>6397</v>
      </c>
      <c r="C44" s="7">
        <v>17.5</v>
      </c>
      <c r="D44" s="7" t="s">
        <v>110</v>
      </c>
      <c r="E44" s="9">
        <v>218</v>
      </c>
      <c r="F44" s="9">
        <v>216</v>
      </c>
      <c r="G44" s="9">
        <v>-51.190783130543608</v>
      </c>
      <c r="H44" s="9">
        <v>-39.971525078161626</v>
      </c>
      <c r="I44" s="9">
        <v>206.00432254059027</v>
      </c>
      <c r="J44" s="9">
        <v>-908.93090234602039</v>
      </c>
      <c r="K44" s="9">
        <v>-502.97420137922023</v>
      </c>
      <c r="L44" s="9">
        <v>6231.4851161772604</v>
      </c>
    </row>
    <row r="45" spans="2:12">
      <c r="B45" s="8">
        <v>6614</v>
      </c>
      <c r="C45" s="7">
        <v>18.75</v>
      </c>
      <c r="D45" s="7" t="s">
        <v>111</v>
      </c>
      <c r="E45" s="9">
        <v>216</v>
      </c>
      <c r="F45" s="9">
        <v>217</v>
      </c>
      <c r="G45" s="9">
        <v>-56.438222397418848</v>
      </c>
      <c r="H45" s="9">
        <v>-40.980829584283235</v>
      </c>
      <c r="I45" s="9">
        <v>205.4855193418831</v>
      </c>
      <c r="J45" s="9">
        <v>-965.36912474343922</v>
      </c>
      <c r="K45" s="9">
        <v>-543.95503096350342</v>
      </c>
      <c r="L45" s="9">
        <v>6436.9706355191438</v>
      </c>
    </row>
    <row r="46" spans="2:12">
      <c r="B46" s="8">
        <v>6737</v>
      </c>
      <c r="C46" s="7">
        <v>18.25</v>
      </c>
      <c r="D46" s="7" t="s">
        <v>112</v>
      </c>
      <c r="E46" s="9">
        <v>219</v>
      </c>
      <c r="F46" s="9">
        <v>123</v>
      </c>
      <c r="G46" s="9">
        <v>-29.939693576065729</v>
      </c>
      <c r="H46" s="9">
        <v>-24.230732656049629</v>
      </c>
      <c r="I46" s="9">
        <v>116.8138961918587</v>
      </c>
      <c r="J46" s="9">
        <v>-995.30881831950489</v>
      </c>
      <c r="K46" s="9">
        <v>-568.18576361955309</v>
      </c>
      <c r="L46" s="9">
        <v>6553.7845317110023</v>
      </c>
    </row>
    <row r="47" spans="2:12">
      <c r="B47" s="8">
        <v>6835</v>
      </c>
      <c r="C47" s="7">
        <v>17.5</v>
      </c>
      <c r="D47" s="7" t="s">
        <v>110</v>
      </c>
      <c r="E47" s="9">
        <v>218</v>
      </c>
      <c r="F47" s="9">
        <v>98</v>
      </c>
      <c r="G47" s="9">
        <v>-23.225447901820715</v>
      </c>
      <c r="H47" s="9">
        <v>-18.135228970647404</v>
      </c>
      <c r="I47" s="9">
        <v>93.464924115638183</v>
      </c>
      <c r="J47" s="9">
        <v>-1018.5342662213257</v>
      </c>
      <c r="K47" s="9">
        <v>-586.32099259020049</v>
      </c>
      <c r="L47" s="9">
        <v>6647.2494558266408</v>
      </c>
    </row>
    <row r="48" spans="2:12">
      <c r="B48" s="8">
        <v>6933</v>
      </c>
      <c r="C48" s="7">
        <v>15.75</v>
      </c>
      <c r="D48" s="7" t="s">
        <v>108</v>
      </c>
      <c r="E48" s="9">
        <v>217</v>
      </c>
      <c r="F48" s="9">
        <v>98</v>
      </c>
      <c r="G48" s="9">
        <v>-21.247573813753519</v>
      </c>
      <c r="H48" s="9">
        <v>-16.001904229089249</v>
      </c>
      <c r="I48" s="9">
        <v>94.321151753316457</v>
      </c>
      <c r="J48" s="9">
        <v>-1039.7818400350791</v>
      </c>
      <c r="K48" s="9">
        <v>-602.32289681928978</v>
      </c>
      <c r="L48" s="9">
        <v>6741.5706075799571</v>
      </c>
    </row>
    <row r="49" spans="2:12">
      <c r="B49" s="8">
        <v>7031</v>
      </c>
      <c r="C49" s="7">
        <v>14.5</v>
      </c>
      <c r="D49" s="7" t="s">
        <v>108</v>
      </c>
      <c r="E49" s="9">
        <v>217</v>
      </c>
      <c r="F49" s="9">
        <v>98</v>
      </c>
      <c r="G49" s="9">
        <v>-19.599017396686683</v>
      </c>
      <c r="H49" s="9">
        <v>-14.760348739818363</v>
      </c>
      <c r="I49" s="9">
        <v>94.878926122523723</v>
      </c>
      <c r="J49" s="9">
        <v>-1059.3808574317657</v>
      </c>
      <c r="K49" s="9">
        <v>-617.08324555910815</v>
      </c>
      <c r="L49" s="9">
        <v>6836.4495337024809</v>
      </c>
    </row>
    <row r="50" spans="2:12">
      <c r="B50" s="8">
        <v>7129</v>
      </c>
      <c r="C50" s="7">
        <v>13.5</v>
      </c>
      <c r="D50" s="7" t="s">
        <v>111</v>
      </c>
      <c r="E50" s="9">
        <v>216</v>
      </c>
      <c r="F50" s="9">
        <v>98</v>
      </c>
      <c r="G50" s="9">
        <v>-18.51079916435933</v>
      </c>
      <c r="H50" s="9">
        <v>-13.441031162919751</v>
      </c>
      <c r="I50" s="9">
        <v>95.292649221092461</v>
      </c>
      <c r="J50" s="9">
        <v>-1077.8916565961249</v>
      </c>
      <c r="K50" s="9">
        <v>-630.52427672202793</v>
      </c>
      <c r="L50" s="9">
        <v>6931.7421829235736</v>
      </c>
    </row>
    <row r="51" spans="2:12">
      <c r="B51" s="8">
        <v>7227</v>
      </c>
      <c r="C51" s="7">
        <v>12</v>
      </c>
      <c r="D51" s="7" t="s">
        <v>109</v>
      </c>
      <c r="E51" s="9">
        <v>215</v>
      </c>
      <c r="F51" s="9">
        <v>98</v>
      </c>
      <c r="G51" s="9">
        <v>-16.692524012420883</v>
      </c>
      <c r="H51" s="9">
        <v>-11.681356778393923</v>
      </c>
      <c r="I51" s="9">
        <v>95.858779180159715</v>
      </c>
      <c r="J51" s="9">
        <v>-1094.5841806085457</v>
      </c>
      <c r="K51" s="9">
        <v>-642.20563350042187</v>
      </c>
      <c r="L51" s="9">
        <v>7027.6009621037338</v>
      </c>
    </row>
    <row r="52" spans="2:12">
      <c r="B52" s="8">
        <v>7325</v>
      </c>
      <c r="C52" s="7">
        <v>10.5</v>
      </c>
      <c r="D52" s="7" t="s">
        <v>108</v>
      </c>
      <c r="E52" s="9">
        <v>217</v>
      </c>
      <c r="F52" s="9">
        <v>98</v>
      </c>
      <c r="G52" s="9">
        <v>-14.264855371649913</v>
      </c>
      <c r="H52" s="9">
        <v>-10.743101847759943</v>
      </c>
      <c r="I52" s="9">
        <v>96.359221997246152</v>
      </c>
      <c r="J52" s="9">
        <v>-1108.8490359801956</v>
      </c>
      <c r="K52" s="9">
        <v>-652.9487353481818</v>
      </c>
      <c r="L52" s="9">
        <v>7123.9601841009799</v>
      </c>
    </row>
    <row r="53" spans="2:12">
      <c r="B53" s="8">
        <v>7423</v>
      </c>
      <c r="C53" s="7">
        <v>8.75</v>
      </c>
      <c r="D53" s="7" t="s">
        <v>111</v>
      </c>
      <c r="E53" s="9">
        <v>216</v>
      </c>
      <c r="F53" s="9">
        <v>98</v>
      </c>
      <c r="G53" s="9">
        <v>-12.062450784917951</v>
      </c>
      <c r="H53" s="9">
        <v>-8.7587670019907264</v>
      </c>
      <c r="I53" s="9">
        <v>96.85959571289915</v>
      </c>
      <c r="J53" s="9">
        <v>-1120.9114867651135</v>
      </c>
      <c r="K53" s="9">
        <v>-661.70750235017249</v>
      </c>
      <c r="L53" s="9">
        <v>7220.819779813879</v>
      </c>
    </row>
    <row r="54" spans="2:12">
      <c r="B54" s="8">
        <v>7521</v>
      </c>
      <c r="C54" s="7">
        <v>7</v>
      </c>
      <c r="D54" s="7" t="s">
        <v>108</v>
      </c>
      <c r="E54" s="9">
        <v>217</v>
      </c>
      <c r="F54" s="9">
        <v>98</v>
      </c>
      <c r="G54" s="9">
        <v>-9.5395656489183605</v>
      </c>
      <c r="H54" s="9">
        <v>-7.18440689930868</v>
      </c>
      <c r="I54" s="9">
        <v>97.269630331029546</v>
      </c>
      <c r="J54" s="9">
        <v>-1130.4510524140319</v>
      </c>
      <c r="K54" s="9">
        <v>-668.89190924948116</v>
      </c>
      <c r="L54" s="9">
        <v>7318.0894101449085</v>
      </c>
    </row>
    <row r="55" spans="2:12">
      <c r="B55" s="8">
        <v>7619</v>
      </c>
      <c r="C55" s="7">
        <v>6.25</v>
      </c>
      <c r="D55" s="7" t="s">
        <v>108</v>
      </c>
      <c r="E55" s="9">
        <v>217</v>
      </c>
      <c r="F55" s="9">
        <v>98</v>
      </c>
      <c r="G55" s="9">
        <v>-8.5217708843158348</v>
      </c>
      <c r="H55" s="9">
        <v>-6.4178885904043605</v>
      </c>
      <c r="I55" s="9">
        <v>97.417606863628023</v>
      </c>
      <c r="J55" s="9">
        <v>-1138.9728232983477</v>
      </c>
      <c r="K55" s="9">
        <v>-675.3097978398855</v>
      </c>
      <c r="L55" s="9">
        <v>7415.5070170085364</v>
      </c>
    </row>
    <row r="56" spans="2:12">
      <c r="B56" s="8">
        <v>7717</v>
      </c>
      <c r="C56" s="7">
        <v>4.75</v>
      </c>
      <c r="D56" s="7" t="s">
        <v>110</v>
      </c>
      <c r="E56" s="9">
        <v>218</v>
      </c>
      <c r="F56" s="9">
        <v>98</v>
      </c>
      <c r="G56" s="9">
        <v>-6.3957981678406854</v>
      </c>
      <c r="H56" s="9">
        <v>-4.9940593057301275</v>
      </c>
      <c r="I56" s="9">
        <v>97.663468796920668</v>
      </c>
      <c r="J56" s="9">
        <v>-1145.3686214661884</v>
      </c>
      <c r="K56" s="9">
        <v>-680.30385714561567</v>
      </c>
      <c r="L56" s="9">
        <v>7513.1704858054572</v>
      </c>
    </row>
    <row r="57" spans="2:12">
      <c r="B57" s="8">
        <v>7815</v>
      </c>
      <c r="C57" s="7">
        <v>4</v>
      </c>
      <c r="D57" s="7" t="s">
        <v>113</v>
      </c>
      <c r="E57" s="9">
        <v>222</v>
      </c>
      <c r="F57" s="9">
        <v>98</v>
      </c>
      <c r="G57" s="9">
        <v>-5.08116948953485</v>
      </c>
      <c r="H57" s="9">
        <v>-4.5724804725314794</v>
      </c>
      <c r="I57" s="9">
        <v>97.76131207664379</v>
      </c>
      <c r="J57" s="9">
        <v>-1150.4497909557233</v>
      </c>
      <c r="K57" s="9">
        <v>-684.87633761814709</v>
      </c>
      <c r="L57" s="9">
        <v>7610.9317978821009</v>
      </c>
    </row>
    <row r="58" spans="2:12">
      <c r="B58" s="8">
        <v>7913</v>
      </c>
      <c r="C58" s="7">
        <v>3.25</v>
      </c>
      <c r="D58" s="7" t="s">
        <v>114</v>
      </c>
      <c r="E58" s="9">
        <v>223</v>
      </c>
      <c r="F58" s="9">
        <v>98</v>
      </c>
      <c r="G58" s="9">
        <v>-4.0641100740055238</v>
      </c>
      <c r="H58" s="9">
        <v>-3.787666323034419</v>
      </c>
      <c r="I58" s="9">
        <v>97.8424069263002</v>
      </c>
      <c r="J58" s="9">
        <v>-1154.5139010297289</v>
      </c>
      <c r="K58" s="9">
        <v>-688.66400394118148</v>
      </c>
      <c r="L58" s="9">
        <v>7708.774204808401</v>
      </c>
    </row>
    <row r="59" spans="2:12">
      <c r="B59" s="8">
        <v>7966</v>
      </c>
      <c r="C59" s="7">
        <v>2.5</v>
      </c>
      <c r="D59" s="7" t="s">
        <v>115</v>
      </c>
      <c r="E59" s="9">
        <v>227</v>
      </c>
      <c r="F59" s="9">
        <v>53</v>
      </c>
      <c r="G59" s="9">
        <v>-1.5770398183131609</v>
      </c>
      <c r="H59" s="9">
        <v>-1.6901790303761968</v>
      </c>
      <c r="I59" s="9">
        <v>52.949563173426952</v>
      </c>
      <c r="J59" s="9">
        <v>-1156.090940848042</v>
      </c>
      <c r="K59" s="9">
        <v>-690.35418297155763</v>
      </c>
      <c r="L59" s="9">
        <v>7761.7237679818281</v>
      </c>
    </row>
    <row r="60" spans="2:12">
      <c r="B60" s="8">
        <v>8965</v>
      </c>
      <c r="C60" s="7">
        <v>4</v>
      </c>
      <c r="D60" s="7" t="s">
        <v>116</v>
      </c>
      <c r="E60" s="9">
        <v>260</v>
      </c>
      <c r="F60" s="9">
        <v>999</v>
      </c>
      <c r="G60" s="9">
        <v>-12.123017479416733</v>
      </c>
      <c r="H60" s="9">
        <v>-68.618924634226488</v>
      </c>
      <c r="I60" s="9">
        <v>996.56684453639946</v>
      </c>
      <c r="J60" s="9">
        <v>-1168.2139583274588</v>
      </c>
      <c r="K60" s="9">
        <v>-758.97310760578409</v>
      </c>
      <c r="L60" s="9">
        <v>8758.2906125182271</v>
      </c>
    </row>
    <row r="61" spans="2:12">
      <c r="B61" s="8">
        <v>10605</v>
      </c>
      <c r="C61" s="7">
        <v>3</v>
      </c>
      <c r="D61" s="7" t="s">
        <v>117</v>
      </c>
      <c r="E61" s="9">
        <v>245</v>
      </c>
      <c r="F61" s="9">
        <v>1640</v>
      </c>
      <c r="G61" s="9">
        <v>-36.295561946477264</v>
      </c>
      <c r="H61" s="9">
        <v>-77.772122788591901</v>
      </c>
      <c r="I61" s="9">
        <v>1637.7527680025289</v>
      </c>
      <c r="J61" s="9">
        <v>-1204.509520273936</v>
      </c>
      <c r="K61" s="9">
        <v>-836.74523039437599</v>
      </c>
      <c r="L61" s="9">
        <v>10396.043380520756</v>
      </c>
    </row>
    <row r="63" spans="2:12">
      <c r="E63" s="1"/>
    </row>
  </sheetData>
  <mergeCells count="3">
    <mergeCell ref="E1:H1"/>
    <mergeCell ref="A1:C1"/>
    <mergeCell ref="A2:C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WellSurvey">
                <anchor moveWithCells="1" sizeWithCells="1">
                  <from>
                    <xdr:col>13</xdr:col>
                    <xdr:colOff>25400</xdr:colOff>
                    <xdr:row>1</xdr:row>
                    <xdr:rowOff>12700</xdr:rowOff>
                  </from>
                  <to>
                    <xdr:col>16</xdr:col>
                    <xdr:colOff>38100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ClearWellSurvey">
                <anchor moveWithCells="1" sizeWithCells="1">
                  <from>
                    <xdr:col>13</xdr:col>
                    <xdr:colOff>63500</xdr:colOff>
                    <xdr:row>5</xdr:row>
                    <xdr:rowOff>63500</xdr:rowOff>
                  </from>
                  <to>
                    <xdr:col>15</xdr:col>
                    <xdr:colOff>596900</xdr:colOff>
                    <xdr:row>8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Extra!$A$1:$A$8</xm:f>
          </x14:formula1>
          <xm:sqref>A1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12"/>
  <sheetViews>
    <sheetView workbookViewId="0">
      <selection activeCell="E20" sqref="E20"/>
    </sheetView>
  </sheetViews>
  <sheetFormatPr baseColWidth="10" defaultColWidth="8.83203125" defaultRowHeight="15"/>
  <cols>
    <col min="1" max="1" width="23.83203125" bestFit="1" customWidth="1"/>
    <col min="4" max="4" width="10" bestFit="1" customWidth="1"/>
    <col min="5" max="5" width="17.6640625" bestFit="1" customWidth="1"/>
    <col min="7" max="7" width="15.1640625" bestFit="1" customWidth="1"/>
  </cols>
  <sheetData>
    <row r="1" spans="1:13" ht="19">
      <c r="A1" s="12" t="s">
        <v>0</v>
      </c>
      <c r="B1" s="12"/>
      <c r="C1" s="12" t="s">
        <v>3</v>
      </c>
      <c r="D1" s="12" t="s">
        <v>10</v>
      </c>
      <c r="E1" s="70" t="s">
        <v>12</v>
      </c>
      <c r="F1" s="12"/>
      <c r="G1" s="12" t="s">
        <v>170</v>
      </c>
      <c r="H1" s="12"/>
      <c r="I1" s="12" t="s">
        <v>194</v>
      </c>
      <c r="K1" t="s">
        <v>200</v>
      </c>
      <c r="M1" s="128" t="s">
        <v>212</v>
      </c>
    </row>
    <row r="2" spans="1:13" ht="19">
      <c r="A2" s="12" t="s">
        <v>45</v>
      </c>
      <c r="B2" s="12"/>
      <c r="C2" s="12" t="s">
        <v>4</v>
      </c>
      <c r="D2" s="70" t="s">
        <v>31</v>
      </c>
      <c r="E2" s="70" t="s">
        <v>13</v>
      </c>
      <c r="F2" s="12"/>
      <c r="G2" s="12" t="s">
        <v>171</v>
      </c>
      <c r="H2" s="12"/>
      <c r="I2" s="12" t="s">
        <v>195</v>
      </c>
      <c r="K2" t="s">
        <v>201</v>
      </c>
      <c r="M2" t="s">
        <v>213</v>
      </c>
    </row>
    <row r="3" spans="1:13" ht="19">
      <c r="A3" s="12" t="s">
        <v>1</v>
      </c>
      <c r="B3" s="12"/>
      <c r="C3" s="12" t="s">
        <v>5</v>
      </c>
      <c r="D3" s="12"/>
      <c r="E3" s="12" t="s">
        <v>14</v>
      </c>
      <c r="F3" s="12"/>
      <c r="G3" s="12" t="s">
        <v>172</v>
      </c>
      <c r="H3" s="12"/>
      <c r="I3" t="s">
        <v>197</v>
      </c>
    </row>
    <row r="4" spans="1:13" ht="19">
      <c r="A4" s="12" t="s">
        <v>46</v>
      </c>
      <c r="B4" s="12"/>
      <c r="C4" s="12" t="s">
        <v>6</v>
      </c>
      <c r="D4" s="12"/>
      <c r="E4" s="12" t="s">
        <v>15</v>
      </c>
      <c r="F4" s="12"/>
      <c r="G4" s="12"/>
      <c r="H4" s="12"/>
      <c r="I4" t="s">
        <v>196</v>
      </c>
    </row>
    <row r="5" spans="1:13" ht="19">
      <c r="A5" s="12" t="s">
        <v>50</v>
      </c>
      <c r="B5" s="12"/>
      <c r="C5" s="12" t="s">
        <v>7</v>
      </c>
      <c r="D5" s="12"/>
      <c r="E5" s="12"/>
      <c r="F5" s="12"/>
      <c r="G5" s="12"/>
      <c r="H5" s="12"/>
    </row>
    <row r="6" spans="1:13" ht="19">
      <c r="A6" s="12" t="s">
        <v>47</v>
      </c>
      <c r="B6" s="12"/>
      <c r="C6" s="12" t="s">
        <v>8</v>
      </c>
      <c r="D6" s="12"/>
      <c r="E6" s="12"/>
      <c r="F6" s="12"/>
      <c r="G6" s="12"/>
      <c r="H6" s="12"/>
    </row>
    <row r="7" spans="1:13" ht="19">
      <c r="A7" s="12" t="s">
        <v>48</v>
      </c>
      <c r="B7" s="12"/>
      <c r="C7" s="12"/>
      <c r="D7" s="12"/>
      <c r="E7" s="12"/>
      <c r="F7" s="12"/>
      <c r="G7" s="12"/>
      <c r="H7" s="12"/>
    </row>
    <row r="8" spans="1:13" ht="19">
      <c r="A8" s="12" t="s">
        <v>49</v>
      </c>
      <c r="B8" s="12"/>
      <c r="C8" s="12"/>
      <c r="D8" s="12"/>
      <c r="E8" s="12"/>
      <c r="F8" s="12"/>
      <c r="G8" s="12"/>
      <c r="H8" s="12"/>
    </row>
    <row r="9" spans="1:13" ht="19">
      <c r="A9" s="12"/>
      <c r="B9" s="12"/>
      <c r="C9" s="12"/>
      <c r="D9" s="12"/>
      <c r="E9" s="12"/>
      <c r="F9" s="12"/>
      <c r="G9" s="12"/>
      <c r="H9" s="12"/>
    </row>
    <row r="10" spans="1:13" ht="19">
      <c r="A10" s="12"/>
      <c r="B10" s="12"/>
      <c r="C10" s="12"/>
      <c r="D10" s="12"/>
      <c r="E10" s="12"/>
      <c r="F10" s="12"/>
      <c r="G10" s="12"/>
      <c r="H10" s="12"/>
    </row>
    <row r="11" spans="1:13" ht="19">
      <c r="A11" s="12"/>
      <c r="B11" s="12"/>
      <c r="C11" s="12"/>
      <c r="D11" s="12"/>
      <c r="E11" s="12"/>
      <c r="F11" s="12"/>
      <c r="G11" s="12"/>
      <c r="H11" s="12"/>
    </row>
    <row r="12" spans="1:13" ht="19">
      <c r="A12" s="12"/>
      <c r="B12" s="12"/>
      <c r="C12" s="12"/>
      <c r="D12" s="12"/>
      <c r="E12" s="12"/>
      <c r="F12" s="12"/>
      <c r="G12" s="12"/>
      <c r="H12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3DTraj</vt:lpstr>
      <vt:lpstr>Well Survey</vt:lpstr>
      <vt:lpstr>Extra</vt:lpstr>
      <vt:lpstr>angle</vt:lpstr>
      <vt:lpstr>List</vt:lpstr>
      <vt:lpstr>rates</vt:lpstr>
      <vt:lpstr>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Gore</dc:creator>
  <cp:lastModifiedBy>Microsoft Office User</cp:lastModifiedBy>
  <dcterms:created xsi:type="dcterms:W3CDTF">2018-02-25T04:26:58Z</dcterms:created>
  <dcterms:modified xsi:type="dcterms:W3CDTF">2021-10-04T20:23:19Z</dcterms:modified>
</cp:coreProperties>
</file>